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E409E974-5786-4A0E-9F99-D791E55ABB94}" xr6:coauthVersionLast="47" xr6:coauthVersionMax="47" xr10:uidLastSave="{00000000-0000-0000-0000-000000000000}"/>
  <bookViews>
    <workbookView xWindow="-118" yWindow="-118" windowWidth="25370" windowHeight="13667" activeTab="3" xr2:uid="{5DA8A7CB-06F7-4073-8EDB-B2E9E7A8B12E}"/>
  </bookViews>
  <sheets>
    <sheet name=" Nike Data" sheetId="3" r:id="rId1"/>
    <sheet name="Topics to cover" sheetId="9" r:id="rId2"/>
    <sheet name="Pivot tables" sheetId="13" r:id="rId3"/>
    <sheet name="Dashboard" sheetId="14" r:id="rId4"/>
  </sheets>
  <definedNames>
    <definedName name="Slicer_Gender_Category">#N/A</definedName>
    <definedName name="Slicer_Product_Line">#N/A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I2" i="3"/>
</calcChain>
</file>

<file path=xl/sharedStrings.xml><?xml version="1.0" encoding="utf-8"?>
<sst xmlns="http://schemas.openxmlformats.org/spreadsheetml/2006/main" count="1129" uniqueCount="102">
  <si>
    <t>Order_ID</t>
  </si>
  <si>
    <t>Gender_Category</t>
  </si>
  <si>
    <t>Product_Line</t>
  </si>
  <si>
    <t>Product_Name</t>
  </si>
  <si>
    <t>Size</t>
  </si>
  <si>
    <t>Units_Sold</t>
  </si>
  <si>
    <t>MRP</t>
  </si>
  <si>
    <t>Discount_Applied</t>
  </si>
  <si>
    <t>Revenue</t>
  </si>
  <si>
    <t>Order_Date</t>
  </si>
  <si>
    <t>Sales_Channel</t>
  </si>
  <si>
    <t>Region</t>
  </si>
  <si>
    <t>Profit</t>
  </si>
  <si>
    <t>Kids</t>
  </si>
  <si>
    <t>Training</t>
  </si>
  <si>
    <t>SuperRep Go</t>
  </si>
  <si>
    <t>M</t>
  </si>
  <si>
    <t>Online</t>
  </si>
  <si>
    <t>Women</t>
  </si>
  <si>
    <t>Soccer</t>
  </si>
  <si>
    <t>Tiempo Legend</t>
  </si>
  <si>
    <t>Retail</t>
  </si>
  <si>
    <t>Premier III</t>
  </si>
  <si>
    <t>Mumbai</t>
  </si>
  <si>
    <t>Lifestyle</t>
  </si>
  <si>
    <t>Blazer Mid</t>
  </si>
  <si>
    <t>L</t>
  </si>
  <si>
    <t>Pune</t>
  </si>
  <si>
    <t>Running</t>
  </si>
  <si>
    <t>React Infinity</t>
  </si>
  <si>
    <t>XL</t>
  </si>
  <si>
    <t>Delhi</t>
  </si>
  <si>
    <t>Flex Trainer</t>
  </si>
  <si>
    <t>Men</t>
  </si>
  <si>
    <t>Bangalore</t>
  </si>
  <si>
    <t>Mercurial Superfly</t>
  </si>
  <si>
    <t>Waffle One</t>
  </si>
  <si>
    <t>Basketball</t>
  </si>
  <si>
    <t>Air Jordan</t>
  </si>
  <si>
    <t>Kolkata</t>
  </si>
  <si>
    <t>Metcon 7</t>
  </si>
  <si>
    <t>Air Zoom</t>
  </si>
  <si>
    <t>Free RN</t>
  </si>
  <si>
    <t>Kyrie Flytrap</t>
  </si>
  <si>
    <t>Zoom Freak</t>
  </si>
  <si>
    <t>ZoomX Invincible</t>
  </si>
  <si>
    <t>Phantom GT</t>
  </si>
  <si>
    <t>Pegasus Turbo</t>
  </si>
  <si>
    <t>Dunk Low</t>
  </si>
  <si>
    <t>Air Force 1</t>
  </si>
  <si>
    <t>LeBron 20</t>
  </si>
  <si>
    <t>hyderabad</t>
  </si>
  <si>
    <t>hyderabaderabad</t>
  </si>
  <si>
    <t>hyderabaderbad</t>
  </si>
  <si>
    <t>banglore</t>
  </si>
  <si>
    <t>Month</t>
  </si>
  <si>
    <t>Return_Status</t>
  </si>
  <si>
    <t>Row Labels</t>
  </si>
  <si>
    <t>Jan</t>
  </si>
  <si>
    <t>Feb</t>
  </si>
  <si>
    <t>Mar</t>
  </si>
  <si>
    <t>Apr</t>
  </si>
  <si>
    <t>May</t>
  </si>
  <si>
    <t>Jun</t>
  </si>
  <si>
    <t>Jul</t>
  </si>
  <si>
    <t>Aug</t>
  </si>
  <si>
    <t>Sep</t>
  </si>
  <si>
    <t>Oct</t>
  </si>
  <si>
    <t>Nov</t>
  </si>
  <si>
    <t>Dec</t>
  </si>
  <si>
    <t>Grand Total</t>
  </si>
  <si>
    <t>Sum of Revenue</t>
  </si>
  <si>
    <t>Count of Return_Status</t>
  </si>
  <si>
    <t>Returned</t>
  </si>
  <si>
    <t>Sum of Profit</t>
  </si>
  <si>
    <t>Sum of Units_Sold</t>
  </si>
  <si>
    <t>TOTAL SALES:</t>
  </si>
  <si>
    <t>Total revenue each category</t>
  </si>
  <si>
    <t>As per region</t>
  </si>
  <si>
    <t>Products returned</t>
  </si>
  <si>
    <t>Profit by category</t>
  </si>
  <si>
    <t>Total revenue each month</t>
  </si>
  <si>
    <t>Unit sold per category</t>
  </si>
  <si>
    <t>MOST PROFITABLE CATEGORY:</t>
  </si>
  <si>
    <t>SOCCER</t>
  </si>
  <si>
    <t>MOST PROFITABLE MONTH:</t>
  </si>
  <si>
    <t>MOST PROFITABLE REGION:</t>
  </si>
  <si>
    <t>KOLKATA</t>
  </si>
  <si>
    <t>LEAST PROFITABLE REGION:</t>
  </si>
  <si>
    <r>
      <rPr>
        <b/>
        <sz val="14"/>
        <color theme="1"/>
        <rFont val="Aptos Narrow"/>
        <family val="2"/>
        <scheme val="minor"/>
      </rPr>
      <t>LEAST PROFITABLE MONTH</t>
    </r>
    <r>
      <rPr>
        <sz val="11"/>
        <color theme="1"/>
        <rFont val="Aptos Narrow"/>
        <family val="2"/>
        <scheme val="minor"/>
      </rPr>
      <t>:</t>
    </r>
  </si>
  <si>
    <t>HYDERABAD</t>
  </si>
  <si>
    <t>LEAST PROFITABLE CATEGORY:</t>
  </si>
  <si>
    <t>RUNNING</t>
  </si>
  <si>
    <t>"NIKE SALES DASHBOARD"</t>
  </si>
  <si>
    <t>TOTAL REVENUE:</t>
  </si>
  <si>
    <t>TOTAL UNITS SOLD:</t>
  </si>
  <si>
    <t>TOTAL PROFIT:</t>
  </si>
  <si>
    <t>TOTAL RETURNS:</t>
  </si>
  <si>
    <t>342009.61 INR</t>
  </si>
  <si>
    <t>JANUARY</t>
  </si>
  <si>
    <t>FEBRUARY</t>
  </si>
  <si>
    <t>126271.24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</si>
</sst>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sz val="36"/>
      <color theme="1"/>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applyAlignment="1">
      <alignment horizontal="left"/>
    </xf>
    <xf numFmtId="0" fontId="16" fillId="0" borderId="0" xfId="0" applyFont="1"/>
    <xf numFmtId="0" fontId="0" fillId="0" borderId="0" xfId="0" pivotButton="1"/>
    <xf numFmtId="0" fontId="0" fillId="33" borderId="0" xfId="0" applyFill="1"/>
    <xf numFmtId="0" fontId="0" fillId="34" borderId="0" xfId="0" applyFill="1"/>
    <xf numFmtId="0" fontId="18" fillId="0" borderId="0" xfId="0" applyFont="1"/>
    <xf numFmtId="0" fontId="18" fillId="0" borderId="0" xfId="0" applyFont="1" applyAlignment="1">
      <alignment horizontal="left"/>
    </xf>
    <xf numFmtId="0" fontId="0" fillId="33" borderId="11" xfId="0" applyFill="1" applyBorder="1"/>
    <xf numFmtId="0" fontId="0" fillId="33" borderId="12" xfId="0" applyFill="1" applyBorder="1"/>
    <xf numFmtId="0" fontId="0" fillId="33" borderId="13" xfId="0" applyFill="1" applyBorder="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xf numFmtId="0" fontId="19" fillId="33" borderId="10" xfId="0" applyFont="1" applyFill="1" applyBorder="1"/>
    <xf numFmtId="0" fontId="19" fillId="33" borderId="13" xfId="0" applyFont="1" applyFill="1" applyBorder="1"/>
    <xf numFmtId="0" fontId="19" fillId="33" borderId="0" xfId="0" applyFont="1" applyFill="1"/>
    <xf numFmtId="0" fontId="20"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9" formatCode="dd/mm/yyyy"/>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[Nike Data_Sales_Dashboard.xlsx]Pivot tables!PivotTable9</c:name>
    <c:fmtId val="2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tables'!$K$14:$K$26</c:f>
              <c:strCache>
                <c:ptCount val="12"/>
                <c:pt idx="0">
                  <c:v>Jan</c:v>
                </c:pt>
                <c:pt idx="1">
                  <c:v>Apr</c:v>
                </c:pt>
                <c:pt idx="2">
                  <c:v>Nov</c:v>
                </c:pt>
                <c:pt idx="3">
                  <c:v>Sep</c:v>
                </c:pt>
                <c:pt idx="4">
                  <c:v>Dec</c:v>
                </c:pt>
                <c:pt idx="5">
                  <c:v>May</c:v>
                </c:pt>
                <c:pt idx="6">
                  <c:v>Mar</c:v>
                </c:pt>
                <c:pt idx="7">
                  <c:v>Aug</c:v>
                </c:pt>
                <c:pt idx="8">
                  <c:v>Oct</c:v>
                </c:pt>
                <c:pt idx="9">
                  <c:v>Jul</c:v>
                </c:pt>
                <c:pt idx="10">
                  <c:v>Jun</c:v>
                </c:pt>
                <c:pt idx="11">
                  <c:v>Feb</c:v>
                </c:pt>
              </c:strCache>
            </c:strRef>
          </c:cat>
          <c:val>
            <c:numRef>
              <c:f>'Pivot tables'!$L$14:$L$26</c:f>
              <c:numCache>
                <c:formatCode>General</c:formatCode>
                <c:ptCount val="12"/>
                <c:pt idx="0">
                  <c:v>44674.37</c:v>
                </c:pt>
                <c:pt idx="1">
                  <c:v>44585.55</c:v>
                </c:pt>
                <c:pt idx="2">
                  <c:v>44288.21</c:v>
                </c:pt>
                <c:pt idx="3">
                  <c:v>32828.99</c:v>
                </c:pt>
                <c:pt idx="4">
                  <c:v>27831.57</c:v>
                </c:pt>
                <c:pt idx="5">
                  <c:v>26004.690000000002</c:v>
                </c:pt>
                <c:pt idx="6">
                  <c:v>25123.360000000001</c:v>
                </c:pt>
                <c:pt idx="7">
                  <c:v>22055.82</c:v>
                </c:pt>
                <c:pt idx="8">
                  <c:v>20777.010000000002</c:v>
                </c:pt>
                <c:pt idx="9">
                  <c:v>20183.64</c:v>
                </c:pt>
                <c:pt idx="10">
                  <c:v>16881.240000000002</c:v>
                </c:pt>
                <c:pt idx="11">
                  <c:v>16775.159999999996</c:v>
                </c:pt>
              </c:numCache>
            </c:numRef>
          </c:val>
          <c:smooth val="0"/>
          <c:extLst>
            <c:ext xmlns:c16="http://schemas.microsoft.com/office/drawing/2014/chart" uri="{C3380CC4-5D6E-409C-BE32-E72D297353CC}">
              <c16:uniqueId val="{00000000-371B-412B-B2A5-DDB07BFB62E0}"/>
            </c:ext>
          </c:extLst>
        </c:ser>
        <c:dLbls>
          <c:showLegendKey val="0"/>
          <c:showVal val="0"/>
          <c:showCatName val="0"/>
          <c:showSerName val="0"/>
          <c:showPercent val="0"/>
          <c:showBubbleSize val="0"/>
        </c:dLbls>
        <c:marker val="1"/>
        <c:smooth val="0"/>
        <c:axId val="838035888"/>
        <c:axId val="838037328"/>
      </c:lineChart>
      <c:catAx>
        <c:axId val="838035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37328"/>
        <c:crosses val="autoZero"/>
        <c:auto val="1"/>
        <c:lblAlgn val="ctr"/>
        <c:lblOffset val="100"/>
        <c:noMultiLvlLbl val="0"/>
      </c:catAx>
      <c:valAx>
        <c:axId val="8380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3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Data_Sales_Dashboard.xlsx]Pivot tables!PivotTable14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45988498915143"/>
          <c:y val="0.12602126108641715"/>
          <c:w val="0.755204238475784"/>
          <c:h val="0.67028108201744996"/>
        </c:manualLayout>
      </c:layout>
      <c:bar3DChart>
        <c:barDir val="col"/>
        <c:grouping val="clustered"/>
        <c:varyColors val="0"/>
        <c:ser>
          <c:idx val="0"/>
          <c:order val="0"/>
          <c:tx>
            <c:strRef>
              <c:f>'Pivot tables'!$I$15</c:f>
              <c:strCache>
                <c:ptCount val="1"/>
                <c:pt idx="0">
                  <c:v>Total</c:v>
                </c:pt>
              </c:strCache>
            </c:strRef>
          </c:tx>
          <c:spPr>
            <a:solidFill>
              <a:schemeClr val="accent1"/>
            </a:solidFill>
            <a:ln>
              <a:noFill/>
            </a:ln>
            <a:effectLst/>
            <a:sp3d/>
          </c:spPr>
          <c:invertIfNegative val="0"/>
          <c:cat>
            <c:strRef>
              <c:f>'Pivot tables'!$H$16:$H$21</c:f>
              <c:strCache>
                <c:ptCount val="5"/>
                <c:pt idx="0">
                  <c:v>Training</c:v>
                </c:pt>
                <c:pt idx="1">
                  <c:v>Soccer</c:v>
                </c:pt>
                <c:pt idx="2">
                  <c:v>Basketball</c:v>
                </c:pt>
                <c:pt idx="3">
                  <c:v>Lifestyle</c:v>
                </c:pt>
                <c:pt idx="4">
                  <c:v>Running</c:v>
                </c:pt>
              </c:strCache>
            </c:strRef>
          </c:cat>
          <c:val>
            <c:numRef>
              <c:f>'Pivot tables'!$I$16:$I$21</c:f>
              <c:numCache>
                <c:formatCode>General</c:formatCode>
                <c:ptCount val="5"/>
                <c:pt idx="0">
                  <c:v>42</c:v>
                </c:pt>
                <c:pt idx="1">
                  <c:v>35</c:v>
                </c:pt>
                <c:pt idx="2">
                  <c:v>31</c:v>
                </c:pt>
                <c:pt idx="3">
                  <c:v>15</c:v>
                </c:pt>
                <c:pt idx="4">
                  <c:v>9</c:v>
                </c:pt>
              </c:numCache>
            </c:numRef>
          </c:val>
          <c:extLst>
            <c:ext xmlns:c16="http://schemas.microsoft.com/office/drawing/2014/chart" uri="{C3380CC4-5D6E-409C-BE32-E72D297353CC}">
              <c16:uniqueId val="{00000000-96BE-44AD-9669-00F22B69D524}"/>
            </c:ext>
          </c:extLst>
        </c:ser>
        <c:dLbls>
          <c:showLegendKey val="0"/>
          <c:showVal val="0"/>
          <c:showCatName val="0"/>
          <c:showSerName val="0"/>
          <c:showPercent val="0"/>
          <c:showBubbleSize val="0"/>
        </c:dLbls>
        <c:gapWidth val="150"/>
        <c:shape val="box"/>
        <c:axId val="838045968"/>
        <c:axId val="838046448"/>
        <c:axId val="0"/>
      </c:bar3DChart>
      <c:catAx>
        <c:axId val="83804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46448"/>
        <c:crosses val="autoZero"/>
        <c:auto val="1"/>
        <c:lblAlgn val="ctr"/>
        <c:lblOffset val="100"/>
        <c:noMultiLvlLbl val="0"/>
      </c:catAx>
      <c:valAx>
        <c:axId val="83804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Data_Sales_Dashboard.xlsx]Pivot tables!PivotTable15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9203849518807"/>
          <c:y val="0.14709413475916752"/>
          <c:w val="0.86594203849518814"/>
          <c:h val="0.55234661405319363"/>
        </c:manualLayout>
      </c:layout>
      <c:barChart>
        <c:barDir val="col"/>
        <c:grouping val="clustered"/>
        <c:varyColors val="0"/>
        <c:ser>
          <c:idx val="0"/>
          <c:order val="0"/>
          <c:tx>
            <c:strRef>
              <c:f>'Pivot tables'!$F$14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tables'!$E$15:$E$21</c:f>
              <c:strCache>
                <c:ptCount val="6"/>
                <c:pt idx="0">
                  <c:v>Kolkata</c:v>
                </c:pt>
                <c:pt idx="1">
                  <c:v>Pune</c:v>
                </c:pt>
                <c:pt idx="2">
                  <c:v>Mumbai</c:v>
                </c:pt>
                <c:pt idx="3">
                  <c:v>Delhi</c:v>
                </c:pt>
                <c:pt idx="4">
                  <c:v>banglore</c:v>
                </c:pt>
                <c:pt idx="5">
                  <c:v>hyderabad</c:v>
                </c:pt>
              </c:strCache>
            </c:strRef>
          </c:cat>
          <c:val>
            <c:numRef>
              <c:f>'Pivot tables'!$F$15:$F$21</c:f>
              <c:numCache>
                <c:formatCode>General</c:formatCode>
                <c:ptCount val="6"/>
                <c:pt idx="0">
                  <c:v>101271.38</c:v>
                </c:pt>
                <c:pt idx="1">
                  <c:v>71424.739999999991</c:v>
                </c:pt>
                <c:pt idx="2">
                  <c:v>67206.350000000006</c:v>
                </c:pt>
                <c:pt idx="3">
                  <c:v>57770.090000000004</c:v>
                </c:pt>
                <c:pt idx="4">
                  <c:v>38679.760000000002</c:v>
                </c:pt>
                <c:pt idx="5">
                  <c:v>5657.2900000000009</c:v>
                </c:pt>
              </c:numCache>
            </c:numRef>
          </c:val>
          <c:extLst>
            <c:ext xmlns:c16="http://schemas.microsoft.com/office/drawing/2014/chart" uri="{C3380CC4-5D6E-409C-BE32-E72D297353CC}">
              <c16:uniqueId val="{00000000-7620-4F35-9629-87D24DE92459}"/>
            </c:ext>
          </c:extLst>
        </c:ser>
        <c:dLbls>
          <c:showLegendKey val="0"/>
          <c:showVal val="0"/>
          <c:showCatName val="0"/>
          <c:showSerName val="0"/>
          <c:showPercent val="0"/>
          <c:showBubbleSize val="0"/>
        </c:dLbls>
        <c:gapWidth val="100"/>
        <c:overlap val="-24"/>
        <c:axId val="838028208"/>
        <c:axId val="838028688"/>
      </c:barChart>
      <c:catAx>
        <c:axId val="838028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28688"/>
        <c:crosses val="autoZero"/>
        <c:auto val="1"/>
        <c:lblAlgn val="ctr"/>
        <c:lblOffset val="100"/>
        <c:noMultiLvlLbl val="0"/>
      </c:catAx>
      <c:valAx>
        <c:axId val="83802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Data_Sales_Dashboard.xlsx]Pivot tables!PivotTable12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00590678794582E-2"/>
          <c:y val="0.12701022369948337"/>
          <c:w val="0.93879940932120542"/>
          <c:h val="0.66613389695090353"/>
        </c:manualLayout>
      </c:layout>
      <c:bar3DChart>
        <c:barDir val="col"/>
        <c:grouping val="clustered"/>
        <c:varyColors val="0"/>
        <c:ser>
          <c:idx val="0"/>
          <c:order val="0"/>
          <c:tx>
            <c:strRef>
              <c:f>'Pivot tables'!$I$6</c:f>
              <c:strCache>
                <c:ptCount val="1"/>
                <c:pt idx="0">
                  <c:v>Total</c:v>
                </c:pt>
              </c:strCache>
            </c:strRef>
          </c:tx>
          <c:spPr>
            <a:solidFill>
              <a:schemeClr val="accent1"/>
            </a:solidFill>
            <a:ln>
              <a:noFill/>
            </a:ln>
            <a:effectLst/>
            <a:sp3d/>
          </c:spPr>
          <c:invertIfNegative val="0"/>
          <c:cat>
            <c:strRef>
              <c:f>'Pivot tables'!$H$7:$H$11</c:f>
              <c:strCache>
                <c:ptCount val="4"/>
                <c:pt idx="0">
                  <c:v>Lifestyle</c:v>
                </c:pt>
                <c:pt idx="1">
                  <c:v>Running</c:v>
                </c:pt>
                <c:pt idx="2">
                  <c:v>Soccer</c:v>
                </c:pt>
                <c:pt idx="3">
                  <c:v>Training</c:v>
                </c:pt>
              </c:strCache>
            </c:strRef>
          </c:cat>
          <c:val>
            <c:numRef>
              <c:f>'Pivot tables'!$I$7:$I$11</c:f>
              <c:numCache>
                <c:formatCode>General</c:formatCode>
                <c:ptCount val="4"/>
                <c:pt idx="0">
                  <c:v>10</c:v>
                </c:pt>
                <c:pt idx="1">
                  <c:v>4</c:v>
                </c:pt>
                <c:pt idx="2">
                  <c:v>2</c:v>
                </c:pt>
                <c:pt idx="3">
                  <c:v>3</c:v>
                </c:pt>
              </c:numCache>
            </c:numRef>
          </c:val>
          <c:extLst>
            <c:ext xmlns:c16="http://schemas.microsoft.com/office/drawing/2014/chart" uri="{C3380CC4-5D6E-409C-BE32-E72D297353CC}">
              <c16:uniqueId val="{00000000-260A-40D8-9CA2-3340762F187A}"/>
            </c:ext>
          </c:extLst>
        </c:ser>
        <c:dLbls>
          <c:showLegendKey val="0"/>
          <c:showVal val="0"/>
          <c:showCatName val="0"/>
          <c:showSerName val="0"/>
          <c:showPercent val="0"/>
          <c:showBubbleSize val="0"/>
        </c:dLbls>
        <c:gapWidth val="150"/>
        <c:shape val="box"/>
        <c:axId val="838041648"/>
        <c:axId val="838042128"/>
        <c:axId val="0"/>
      </c:bar3DChart>
      <c:catAx>
        <c:axId val="838041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42128"/>
        <c:crosses val="autoZero"/>
        <c:auto val="1"/>
        <c:lblAlgn val="ctr"/>
        <c:lblOffset val="100"/>
        <c:noMultiLvlLbl val="0"/>
      </c:catAx>
      <c:valAx>
        <c:axId val="83804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Data_Sales_Dashboard.xlsx]Pivot tables!PivotTable13</c:name>
    <c:fmtId val="9"/>
  </c:pivotSource>
  <c:chart>
    <c:title>
      <c:layout>
        <c:manualLayout>
          <c:xMode val="edge"/>
          <c:yMode val="edge"/>
          <c:x val="0.6909374453193351"/>
          <c:y val="3.6089238845144378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0174448780741736"/>
          <c:y val="0.18654668154576889"/>
          <c:w val="0.39026106949670397"/>
          <c:h val="0.6742735006237206"/>
        </c:manualLayout>
      </c:layout>
      <c:doughnutChart>
        <c:varyColors val="1"/>
        <c:ser>
          <c:idx val="0"/>
          <c:order val="0"/>
          <c:tx>
            <c:strRef>
              <c:f>'Pivot tables'!$L$4</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B88A-4E4E-8D9F-0B4DC60827D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B88A-4E4E-8D9F-0B4DC60827D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B88A-4E4E-8D9F-0B4DC60827D0}"/>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B88A-4E4E-8D9F-0B4DC60827D0}"/>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B88A-4E4E-8D9F-0B4DC60827D0}"/>
              </c:ext>
            </c:extLst>
          </c:dPt>
          <c:cat>
            <c:strRef>
              <c:f>'Pivot tables'!$K$5:$K$10</c:f>
              <c:strCache>
                <c:ptCount val="5"/>
                <c:pt idx="0">
                  <c:v>Soccer</c:v>
                </c:pt>
                <c:pt idx="1">
                  <c:v>Basketball</c:v>
                </c:pt>
                <c:pt idx="2">
                  <c:v>Lifestyle</c:v>
                </c:pt>
                <c:pt idx="3">
                  <c:v>Training</c:v>
                </c:pt>
                <c:pt idx="4">
                  <c:v>Running</c:v>
                </c:pt>
              </c:strCache>
            </c:strRef>
          </c:cat>
          <c:val>
            <c:numRef>
              <c:f>'Pivot tables'!$L$5:$L$10</c:f>
              <c:numCache>
                <c:formatCode>General</c:formatCode>
                <c:ptCount val="5"/>
                <c:pt idx="0">
                  <c:v>35849.39</c:v>
                </c:pt>
                <c:pt idx="1">
                  <c:v>27896.199999999997</c:v>
                </c:pt>
                <c:pt idx="2">
                  <c:v>25759.420000000002</c:v>
                </c:pt>
                <c:pt idx="3">
                  <c:v>20032.3</c:v>
                </c:pt>
                <c:pt idx="4">
                  <c:v>16733.93</c:v>
                </c:pt>
              </c:numCache>
            </c:numRef>
          </c:val>
          <c:extLst>
            <c:ext xmlns:c16="http://schemas.microsoft.com/office/drawing/2014/chart" uri="{C3380CC4-5D6E-409C-BE32-E72D297353CC}">
              <c16:uniqueId val="{0000000A-B88A-4E4E-8D9F-0B4DC60827D0}"/>
            </c:ext>
          </c:extLst>
        </c:ser>
        <c:dLbls>
          <c:showLegendKey val="0"/>
          <c:showVal val="0"/>
          <c:showCatName val="0"/>
          <c:showSerName val="0"/>
          <c:showPercent val="0"/>
          <c:showBubbleSize val="0"/>
          <c:showLeaderLines val="1"/>
        </c:dLbls>
        <c:firstSliceAng val="0"/>
        <c:holeSize val="75"/>
      </c:doughnutChart>
      <c:spPr>
        <a:noFill/>
        <a:ln w="38100">
          <a:solidFill>
            <a:schemeClr val="tx1">
              <a:alpha val="97000"/>
            </a:schemeClr>
          </a:solidFill>
        </a:ln>
        <a:effectLst/>
      </c:spPr>
    </c:plotArea>
    <c:legend>
      <c:legendPos val="r"/>
      <c:layout>
        <c:manualLayout>
          <c:xMode val="edge"/>
          <c:yMode val="edge"/>
          <c:x val="0.72708339302637959"/>
          <c:y val="0.17596138185190405"/>
          <c:w val="0.25624994395233069"/>
          <c:h val="0.67144720179788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41563</xdr:colOff>
      <xdr:row>1</xdr:row>
      <xdr:rowOff>41563</xdr:rowOff>
    </xdr:from>
    <xdr:to>
      <xdr:col>17</xdr:col>
      <xdr:colOff>648393</xdr:colOff>
      <xdr:row>4</xdr:row>
      <xdr:rowOff>99753</xdr:rowOff>
    </xdr:to>
    <xdr:sp macro="" textlink="">
      <xdr:nvSpPr>
        <xdr:cNvPr id="2" name="Rectangle: Rounded Corners 1">
          <a:extLst>
            <a:ext uri="{FF2B5EF4-FFF2-40B4-BE49-F238E27FC236}">
              <a16:creationId xmlns:a16="http://schemas.microsoft.com/office/drawing/2014/main" id="{BE2DEF7A-7EB9-B6EA-2019-F584275F54CD}"/>
            </a:ext>
          </a:extLst>
        </xdr:cNvPr>
        <xdr:cNvSpPr/>
      </xdr:nvSpPr>
      <xdr:spPr>
        <a:xfrm>
          <a:off x="3366654" y="232756"/>
          <a:ext cx="8587048" cy="631768"/>
        </a:xfrm>
        <a:prstGeom prst="roundRect">
          <a:avLst/>
        </a:prstGeom>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Bell MT" panose="02020503060305020303" pitchFamily="18" charset="0"/>
            </a:rPr>
            <a:t>TOPICS TO BE DISCUSSED</a:t>
          </a:r>
        </a:p>
      </xdr:txBody>
    </xdr:sp>
    <xdr:clientData/>
  </xdr:twoCellAnchor>
  <xdr:twoCellAnchor>
    <xdr:from>
      <xdr:col>5</xdr:col>
      <xdr:colOff>108065</xdr:colOff>
      <xdr:row>5</xdr:row>
      <xdr:rowOff>157942</xdr:rowOff>
    </xdr:from>
    <xdr:to>
      <xdr:col>17</xdr:col>
      <xdr:colOff>598517</xdr:colOff>
      <xdr:row>8</xdr:row>
      <xdr:rowOff>33251</xdr:rowOff>
    </xdr:to>
    <xdr:sp macro="" textlink="">
      <xdr:nvSpPr>
        <xdr:cNvPr id="6" name="TextBox 5">
          <a:extLst>
            <a:ext uri="{FF2B5EF4-FFF2-40B4-BE49-F238E27FC236}">
              <a16:creationId xmlns:a16="http://schemas.microsoft.com/office/drawing/2014/main" id="{D6C0EC65-C3D1-D8DB-D4FC-31CDE67B5661}"/>
            </a:ext>
          </a:extLst>
        </xdr:cNvPr>
        <xdr:cNvSpPr txBox="1"/>
      </xdr:nvSpPr>
      <xdr:spPr>
        <a:xfrm>
          <a:off x="3433156" y="1113906"/>
          <a:ext cx="8470670" cy="448887"/>
        </a:xfrm>
        <a:prstGeom prst="rect">
          <a:avLst/>
        </a:prstGeom>
        <a:solidFill>
          <a:schemeClr val="lt1"/>
        </a:solidFill>
        <a:ln w="571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dk1"/>
              </a:solidFill>
              <a:latin typeface="+mn-lt"/>
              <a:ea typeface="+mn-ea"/>
              <a:cs typeface="+mn-cs"/>
            </a:rPr>
            <a:t>1</a:t>
          </a:r>
          <a:r>
            <a:rPr lang="en-IN" sz="1400">
              <a:solidFill>
                <a:schemeClr val="dk1"/>
              </a:solidFill>
              <a:latin typeface="+mn-lt"/>
              <a:ea typeface="+mn-ea"/>
              <a:cs typeface="+mn-cs"/>
            </a:rPr>
            <a:t>.    </a:t>
          </a:r>
          <a:r>
            <a:rPr lang="en-IN" sz="1600">
              <a:solidFill>
                <a:schemeClr val="dk1"/>
              </a:solidFill>
              <a:latin typeface="+mn-lt"/>
              <a:ea typeface="+mn-ea"/>
              <a:cs typeface="+mn-cs"/>
            </a:rPr>
            <a:t>Monthly</a:t>
          </a:r>
          <a:r>
            <a:rPr lang="en-IN" sz="1600" baseline="0">
              <a:solidFill>
                <a:schemeClr val="dk1"/>
              </a:solidFill>
              <a:latin typeface="+mn-lt"/>
              <a:ea typeface="+mn-ea"/>
              <a:cs typeface="+mn-cs"/>
            </a:rPr>
            <a:t> sales trend and highest total sales for products in a month.</a:t>
          </a:r>
          <a:endParaRPr lang="en-IN" sz="1600">
            <a:solidFill>
              <a:schemeClr val="dk1"/>
            </a:solidFill>
            <a:latin typeface="+mn-lt"/>
            <a:ea typeface="+mn-ea"/>
            <a:cs typeface="+mn-cs"/>
          </a:endParaRPr>
        </a:p>
      </xdr:txBody>
    </xdr:sp>
    <xdr:clientData/>
  </xdr:twoCellAnchor>
  <xdr:twoCellAnchor>
    <xdr:from>
      <xdr:col>5</xdr:col>
      <xdr:colOff>83127</xdr:colOff>
      <xdr:row>9</xdr:row>
      <xdr:rowOff>124690</xdr:rowOff>
    </xdr:from>
    <xdr:to>
      <xdr:col>17</xdr:col>
      <xdr:colOff>565266</xdr:colOff>
      <xdr:row>12</xdr:row>
      <xdr:rowOff>16624</xdr:rowOff>
    </xdr:to>
    <xdr:sp macro="" textlink="">
      <xdr:nvSpPr>
        <xdr:cNvPr id="7" name="TextBox 6">
          <a:extLst>
            <a:ext uri="{FF2B5EF4-FFF2-40B4-BE49-F238E27FC236}">
              <a16:creationId xmlns:a16="http://schemas.microsoft.com/office/drawing/2014/main" id="{DF5C574A-73D1-6E18-78A7-118B90512647}"/>
            </a:ext>
          </a:extLst>
        </xdr:cNvPr>
        <xdr:cNvSpPr txBox="1"/>
      </xdr:nvSpPr>
      <xdr:spPr>
        <a:xfrm>
          <a:off x="3408218" y="1845425"/>
          <a:ext cx="8462357" cy="465512"/>
        </a:xfrm>
        <a:prstGeom prst="rect">
          <a:avLst/>
        </a:prstGeom>
        <a:solidFill>
          <a:schemeClr val="lt1"/>
        </a:solidFill>
        <a:ln w="571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t>2.    </a:t>
          </a:r>
          <a:r>
            <a:rPr lang="en-IN" sz="1600" b="0"/>
            <a:t>Best</a:t>
          </a:r>
          <a:r>
            <a:rPr lang="en-IN" sz="1600" b="0" baseline="0"/>
            <a:t> performing categories based on total revenue.</a:t>
          </a:r>
          <a:endParaRPr lang="en-IN" sz="1400">
            <a:solidFill>
              <a:schemeClr val="dk1"/>
            </a:solidFill>
            <a:effectLst/>
            <a:latin typeface="+mn-lt"/>
            <a:ea typeface="+mn-ea"/>
            <a:cs typeface="+mn-cs"/>
          </a:endParaRPr>
        </a:p>
        <a:p>
          <a:endParaRPr lang="en-IN" sz="1600" b="1"/>
        </a:p>
      </xdr:txBody>
    </xdr:sp>
    <xdr:clientData/>
  </xdr:twoCellAnchor>
  <xdr:twoCellAnchor>
    <xdr:from>
      <xdr:col>5</xdr:col>
      <xdr:colOff>91439</xdr:colOff>
      <xdr:row>13</xdr:row>
      <xdr:rowOff>16626</xdr:rowOff>
    </xdr:from>
    <xdr:to>
      <xdr:col>17</xdr:col>
      <xdr:colOff>556952</xdr:colOff>
      <xdr:row>15</xdr:row>
      <xdr:rowOff>49876</xdr:rowOff>
    </xdr:to>
    <xdr:sp macro="" textlink="">
      <xdr:nvSpPr>
        <xdr:cNvPr id="10" name="TextBox 9">
          <a:extLst>
            <a:ext uri="{FF2B5EF4-FFF2-40B4-BE49-F238E27FC236}">
              <a16:creationId xmlns:a16="http://schemas.microsoft.com/office/drawing/2014/main" id="{75B15E27-6C51-F4E7-BA5B-A8186C5B6138}"/>
            </a:ext>
          </a:extLst>
        </xdr:cNvPr>
        <xdr:cNvSpPr txBox="1"/>
      </xdr:nvSpPr>
      <xdr:spPr>
        <a:xfrm>
          <a:off x="3416530" y="2502131"/>
          <a:ext cx="8445731" cy="415636"/>
        </a:xfrm>
        <a:prstGeom prst="rect">
          <a:avLst/>
        </a:prstGeom>
        <a:solidFill>
          <a:schemeClr val="lt1"/>
        </a:solidFill>
        <a:ln w="571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t>3</a:t>
          </a:r>
          <a:r>
            <a:rPr lang="en-IN" sz="1600" b="1" baseline="0"/>
            <a:t>    </a:t>
          </a:r>
          <a:r>
            <a:rPr lang="en-IN" sz="1600" b="0" baseline="0"/>
            <a:t>Complete data of sales performance by region</a:t>
          </a:r>
          <a:endParaRPr lang="en-IN" sz="1600" b="0"/>
        </a:p>
      </xdr:txBody>
    </xdr:sp>
    <xdr:clientData/>
  </xdr:twoCellAnchor>
  <xdr:twoCellAnchor>
    <xdr:from>
      <xdr:col>5</xdr:col>
      <xdr:colOff>91439</xdr:colOff>
      <xdr:row>16</xdr:row>
      <xdr:rowOff>74814</xdr:rowOff>
    </xdr:from>
    <xdr:to>
      <xdr:col>17</xdr:col>
      <xdr:colOff>556952</xdr:colOff>
      <xdr:row>18</xdr:row>
      <xdr:rowOff>141316</xdr:rowOff>
    </xdr:to>
    <xdr:sp macro="" textlink="">
      <xdr:nvSpPr>
        <xdr:cNvPr id="11" name="TextBox 10">
          <a:extLst>
            <a:ext uri="{FF2B5EF4-FFF2-40B4-BE49-F238E27FC236}">
              <a16:creationId xmlns:a16="http://schemas.microsoft.com/office/drawing/2014/main" id="{0408BB91-9E9E-3B56-7868-20E9EDE70C6A}"/>
            </a:ext>
          </a:extLst>
        </xdr:cNvPr>
        <xdr:cNvSpPr txBox="1"/>
      </xdr:nvSpPr>
      <xdr:spPr>
        <a:xfrm>
          <a:off x="3416530" y="3133898"/>
          <a:ext cx="8445731" cy="448887"/>
        </a:xfrm>
        <a:prstGeom prst="rect">
          <a:avLst/>
        </a:prstGeom>
        <a:solidFill>
          <a:schemeClr val="lt1"/>
        </a:solidFill>
        <a:ln w="571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t>4.</a:t>
          </a:r>
          <a:r>
            <a:rPr lang="en-IN" sz="1600" b="1" baseline="0"/>
            <a:t>   </a:t>
          </a:r>
          <a:r>
            <a:rPr lang="en-IN" sz="1600" b="0" baseline="0"/>
            <a:t>Products with highest return rate.</a:t>
          </a:r>
          <a:endParaRPr lang="en-IN" sz="1600" b="0"/>
        </a:p>
      </xdr:txBody>
    </xdr:sp>
    <xdr:clientData/>
  </xdr:twoCellAnchor>
  <xdr:twoCellAnchor>
    <xdr:from>
      <xdr:col>5</xdr:col>
      <xdr:colOff>108065</xdr:colOff>
      <xdr:row>20</xdr:row>
      <xdr:rowOff>41563</xdr:rowOff>
    </xdr:from>
    <xdr:to>
      <xdr:col>17</xdr:col>
      <xdr:colOff>532015</xdr:colOff>
      <xdr:row>22</xdr:row>
      <xdr:rowOff>91440</xdr:rowOff>
    </xdr:to>
    <xdr:sp macro="" textlink="">
      <xdr:nvSpPr>
        <xdr:cNvPr id="13" name="TextBox 12">
          <a:extLst>
            <a:ext uri="{FF2B5EF4-FFF2-40B4-BE49-F238E27FC236}">
              <a16:creationId xmlns:a16="http://schemas.microsoft.com/office/drawing/2014/main" id="{6C55940A-B94B-D34A-A858-B827FFB9184E}"/>
            </a:ext>
          </a:extLst>
        </xdr:cNvPr>
        <xdr:cNvSpPr txBox="1"/>
      </xdr:nvSpPr>
      <xdr:spPr>
        <a:xfrm>
          <a:off x="3433156" y="3865418"/>
          <a:ext cx="8404168" cy="432262"/>
        </a:xfrm>
        <a:prstGeom prst="rect">
          <a:avLst/>
        </a:prstGeom>
        <a:solidFill>
          <a:schemeClr val="lt1"/>
        </a:solidFill>
        <a:ln w="571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5.    </a:t>
          </a:r>
          <a:r>
            <a:rPr lang="en-IN" sz="1600" b="0"/>
            <a:t>Comparision of each product category.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384003</xdr:colOff>
      <xdr:row>3</xdr:row>
      <xdr:rowOff>21012</xdr:rowOff>
    </xdr:from>
    <xdr:to>
      <xdr:col>14</xdr:col>
      <xdr:colOff>498303</xdr:colOff>
      <xdr:row>15</xdr:row>
      <xdr:rowOff>166254</xdr:rowOff>
    </xdr:to>
    <mc:AlternateContent xmlns:mc="http://schemas.openxmlformats.org/markup-compatibility/2006" xmlns:a14="http://schemas.microsoft.com/office/drawing/2010/main">
      <mc:Choice Requires="a14">
        <xdr:graphicFrame macro="">
          <xdr:nvGraphicFramePr>
            <xdr:cNvPr id="5" name="Gender_Category">
              <a:extLst>
                <a:ext uri="{FF2B5EF4-FFF2-40B4-BE49-F238E27FC236}">
                  <a16:creationId xmlns:a16="http://schemas.microsoft.com/office/drawing/2014/main" id="{BFC72D1B-85F6-792A-C091-C3F93320DB4A}"/>
                </a:ext>
              </a:extLst>
            </xdr:cNvPr>
            <xdr:cNvGraphicFramePr/>
          </xdr:nvGraphicFramePr>
          <xdr:xfrm>
            <a:off x="0" y="0"/>
            <a:ext cx="0" cy="0"/>
          </xdr:xfrm>
          <a:graphic>
            <a:graphicData uri="http://schemas.microsoft.com/office/drawing/2010/slicer">
              <sle:slicer xmlns:sle="http://schemas.microsoft.com/office/drawing/2010/slicer" name="Gender_Category"/>
            </a:graphicData>
          </a:graphic>
        </xdr:graphicFrame>
      </mc:Choice>
      <mc:Fallback xmlns="">
        <xdr:sp macro="" textlink="">
          <xdr:nvSpPr>
            <xdr:cNvPr id="0" name=""/>
            <xdr:cNvSpPr>
              <a:spLocks noTextEdit="1"/>
            </xdr:cNvSpPr>
          </xdr:nvSpPr>
          <xdr:spPr>
            <a:xfrm>
              <a:off x="11938694" y="623685"/>
              <a:ext cx="1828800" cy="263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289790</xdr:colOff>
      <xdr:row>3</xdr:row>
      <xdr:rowOff>41100</xdr:rowOff>
    </xdr:from>
    <xdr:to>
      <xdr:col>20</xdr:col>
      <xdr:colOff>116608</xdr:colOff>
      <xdr:row>16</xdr:row>
      <xdr:rowOff>-1</xdr:rowOff>
    </xdr:to>
    <mc:AlternateContent xmlns:mc="http://schemas.openxmlformats.org/markup-compatibility/2006" xmlns:a14="http://schemas.microsoft.com/office/drawing/2010/main">
      <mc:Choice Requires="a14">
        <xdr:graphicFrame macro="">
          <xdr:nvGraphicFramePr>
            <xdr:cNvPr id="6" name="Product_Line">
              <a:extLst>
                <a:ext uri="{FF2B5EF4-FFF2-40B4-BE49-F238E27FC236}">
                  <a16:creationId xmlns:a16="http://schemas.microsoft.com/office/drawing/2014/main" id="{585DB2A8-39DC-7DAE-C17E-20F22400F2EB}"/>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16156709" y="643773"/>
              <a:ext cx="1821873" cy="2639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13160</xdr:colOff>
      <xdr:row>3</xdr:row>
      <xdr:rowOff>23088</xdr:rowOff>
    </xdr:from>
    <xdr:to>
      <xdr:col>17</xdr:col>
      <xdr:colOff>10390</xdr:colOff>
      <xdr:row>15</xdr:row>
      <xdr:rowOff>187035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0DF03DD-753B-8A93-BF24-A801D87324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47369" y="625761"/>
              <a:ext cx="1929939" cy="2657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646545</xdr:colOff>
      <xdr:row>9</xdr:row>
      <xdr:rowOff>157017</xdr:rowOff>
    </xdr:from>
    <xdr:to>
      <xdr:col>7</xdr:col>
      <xdr:colOff>129309</xdr:colOff>
      <xdr:row>23</xdr:row>
      <xdr:rowOff>93519</xdr:rowOff>
    </xdr:to>
    <xdr:graphicFrame macro="">
      <xdr:nvGraphicFramePr>
        <xdr:cNvPr id="4" name="Chart 3">
          <a:extLst>
            <a:ext uri="{FF2B5EF4-FFF2-40B4-BE49-F238E27FC236}">
              <a16:creationId xmlns:a16="http://schemas.microsoft.com/office/drawing/2014/main" id="{57AD1387-84FF-49EC-938C-3E6B973DD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646546</xdr:colOff>
      <xdr:row>9</xdr:row>
      <xdr:rowOff>123536</xdr:rowOff>
    </xdr:from>
    <xdr:to>
      <xdr:col>14</xdr:col>
      <xdr:colOff>120073</xdr:colOff>
      <xdr:row>23</xdr:row>
      <xdr:rowOff>114301</xdr:rowOff>
    </xdr:to>
    <xdr:graphicFrame macro="">
      <xdr:nvGraphicFramePr>
        <xdr:cNvPr id="5" name="Chart 4">
          <a:extLst>
            <a:ext uri="{FF2B5EF4-FFF2-40B4-BE49-F238E27FC236}">
              <a16:creationId xmlns:a16="http://schemas.microsoft.com/office/drawing/2014/main" id="{CD3BA730-872A-4E88-90BE-C304013CD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639618</xdr:colOff>
      <xdr:row>24</xdr:row>
      <xdr:rowOff>103910</xdr:rowOff>
    </xdr:from>
    <xdr:to>
      <xdr:col>14</xdr:col>
      <xdr:colOff>135081</xdr:colOff>
      <xdr:row>38</xdr:row>
      <xdr:rowOff>131617</xdr:rowOff>
    </xdr:to>
    <xdr:graphicFrame macro="">
      <xdr:nvGraphicFramePr>
        <xdr:cNvPr id="6" name="Chart 5">
          <a:extLst>
            <a:ext uri="{FF2B5EF4-FFF2-40B4-BE49-F238E27FC236}">
              <a16:creationId xmlns:a16="http://schemas.microsoft.com/office/drawing/2014/main" id="{7045395B-EC19-4F7B-9BA8-66B9266C9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633846</xdr:colOff>
      <xdr:row>24</xdr:row>
      <xdr:rowOff>103910</xdr:rowOff>
    </xdr:from>
    <xdr:to>
      <xdr:col>7</xdr:col>
      <xdr:colOff>114299</xdr:colOff>
      <xdr:row>38</xdr:row>
      <xdr:rowOff>150091</xdr:rowOff>
    </xdr:to>
    <xdr:graphicFrame macro="">
      <xdr:nvGraphicFramePr>
        <xdr:cNvPr id="7" name="Chart 6">
          <a:extLst>
            <a:ext uri="{FF2B5EF4-FFF2-40B4-BE49-F238E27FC236}">
              <a16:creationId xmlns:a16="http://schemas.microsoft.com/office/drawing/2014/main" id="{B0EE9A31-8679-4FC8-BBEB-01C71E37E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454888</xdr:colOff>
      <xdr:row>9</xdr:row>
      <xdr:rowOff>122383</xdr:rowOff>
    </xdr:from>
    <xdr:to>
      <xdr:col>21</xdr:col>
      <xdr:colOff>371763</xdr:colOff>
      <xdr:row>23</xdr:row>
      <xdr:rowOff>51955</xdr:rowOff>
    </xdr:to>
    <xdr:graphicFrame macro="">
      <xdr:nvGraphicFramePr>
        <xdr:cNvPr id="8" name="Chart 7">
          <a:extLst>
            <a:ext uri="{FF2B5EF4-FFF2-40B4-BE49-F238E27FC236}">
              <a16:creationId xmlns:a16="http://schemas.microsoft.com/office/drawing/2014/main" id="{BA7FB428-19D7-4D74-A011-3363EF46E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311728</xdr:colOff>
      <xdr:row>0</xdr:row>
      <xdr:rowOff>41565</xdr:rowOff>
    </xdr:from>
    <xdr:to>
      <xdr:col>17</xdr:col>
      <xdr:colOff>187036</xdr:colOff>
      <xdr:row>4</xdr:row>
      <xdr:rowOff>10391</xdr:rowOff>
    </xdr:to>
    <xdr:sp macro="" textlink="">
      <xdr:nvSpPr>
        <xdr:cNvPr id="9" name="TextBox 8">
          <a:extLst>
            <a:ext uri="{FF2B5EF4-FFF2-40B4-BE49-F238E27FC236}">
              <a16:creationId xmlns:a16="http://schemas.microsoft.com/office/drawing/2014/main" id="{CB50E117-D0CB-30B4-8DC1-AF2795AD0344}"/>
            </a:ext>
          </a:extLst>
        </xdr:cNvPr>
        <xdr:cNvSpPr txBox="1"/>
      </xdr:nvSpPr>
      <xdr:spPr>
        <a:xfrm>
          <a:off x="5631873" y="41565"/>
          <a:ext cx="5860472" cy="716971"/>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latin typeface="Garamond" panose="02020404030301010803" pitchFamily="18" charset="0"/>
            </a:rPr>
            <a:t>NIKE SALES DATA</a:t>
          </a:r>
        </a:p>
      </xdr:txBody>
    </xdr:sp>
    <xdr:clientData/>
  </xdr:twoCellAnchor>
  <xdr:twoCellAnchor editAs="oneCell">
    <xdr:from>
      <xdr:col>21</xdr:col>
      <xdr:colOff>457201</xdr:colOff>
      <xdr:row>9</xdr:row>
      <xdr:rowOff>103910</xdr:rowOff>
    </xdr:from>
    <xdr:to>
      <xdr:col>23</xdr:col>
      <xdr:colOff>623455</xdr:colOff>
      <xdr:row>23</xdr:row>
      <xdr:rowOff>32028</xdr:rowOff>
    </xdr:to>
    <mc:AlternateContent xmlns:mc="http://schemas.openxmlformats.org/markup-compatibility/2006" xmlns:a14="http://schemas.microsoft.com/office/drawing/2010/main">
      <mc:Choice Requires="a14">
        <xdr:graphicFrame macro="">
          <xdr:nvGraphicFramePr>
            <xdr:cNvPr id="10" name="Gender_Category 1">
              <a:extLst>
                <a:ext uri="{FF2B5EF4-FFF2-40B4-BE49-F238E27FC236}">
                  <a16:creationId xmlns:a16="http://schemas.microsoft.com/office/drawing/2014/main" id="{BAB68966-7162-4951-8583-0972A51B1116}"/>
                </a:ext>
              </a:extLst>
            </xdr:cNvPr>
            <xdr:cNvGraphicFramePr/>
          </xdr:nvGraphicFramePr>
          <xdr:xfrm>
            <a:off x="0" y="0"/>
            <a:ext cx="0" cy="0"/>
          </xdr:xfrm>
          <a:graphic>
            <a:graphicData uri="http://schemas.microsoft.com/office/drawing/2010/slicer">
              <sle:slicer xmlns:sle="http://schemas.microsoft.com/office/drawing/2010/slicer" name="Gender_Category 1"/>
            </a:graphicData>
          </a:graphic>
        </xdr:graphicFrame>
      </mc:Choice>
      <mc:Fallback xmlns="">
        <xdr:sp macro="" textlink="">
          <xdr:nvSpPr>
            <xdr:cNvPr id="0" name=""/>
            <xdr:cNvSpPr>
              <a:spLocks noTextEdit="1"/>
            </xdr:cNvSpPr>
          </xdr:nvSpPr>
          <xdr:spPr>
            <a:xfrm>
              <a:off x="14731341" y="1980211"/>
              <a:ext cx="1496291" cy="2588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20782</xdr:colOff>
      <xdr:row>9</xdr:row>
      <xdr:rowOff>103910</xdr:rowOff>
    </xdr:from>
    <xdr:to>
      <xdr:col>26</xdr:col>
      <xdr:colOff>145472</xdr:colOff>
      <xdr:row>23</xdr:row>
      <xdr:rowOff>32028</xdr:rowOff>
    </xdr:to>
    <mc:AlternateContent xmlns:mc="http://schemas.openxmlformats.org/markup-compatibility/2006" xmlns:a14="http://schemas.microsoft.com/office/drawing/2010/main">
      <mc:Choice Requires="a14">
        <xdr:graphicFrame macro="">
          <xdr:nvGraphicFramePr>
            <xdr:cNvPr id="11" name="Product_Line 1">
              <a:extLst>
                <a:ext uri="{FF2B5EF4-FFF2-40B4-BE49-F238E27FC236}">
                  <a16:creationId xmlns:a16="http://schemas.microsoft.com/office/drawing/2014/main" id="{8C32F613-C69E-4675-BF73-0B890DCA7627}"/>
                </a:ext>
              </a:extLst>
            </xdr:cNvPr>
            <xdr:cNvGraphicFramePr/>
          </xdr:nvGraphicFramePr>
          <xdr:xfrm>
            <a:off x="0" y="0"/>
            <a:ext cx="0" cy="0"/>
          </xdr:xfrm>
          <a:graphic>
            <a:graphicData uri="http://schemas.microsoft.com/office/drawing/2010/slicer">
              <sle:slicer xmlns:sle="http://schemas.microsoft.com/office/drawing/2010/slicer" name="Product_Line 1"/>
            </a:graphicData>
          </a:graphic>
        </xdr:graphicFrame>
      </mc:Choice>
      <mc:Fallback xmlns="">
        <xdr:sp macro="" textlink="">
          <xdr:nvSpPr>
            <xdr:cNvPr id="0" name=""/>
            <xdr:cNvSpPr>
              <a:spLocks noTextEdit="1"/>
            </xdr:cNvSpPr>
          </xdr:nvSpPr>
          <xdr:spPr>
            <a:xfrm>
              <a:off x="16289976" y="1980211"/>
              <a:ext cx="1454727" cy="2588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197426</xdr:colOff>
      <xdr:row>9</xdr:row>
      <xdr:rowOff>114301</xdr:rowOff>
    </xdr:from>
    <xdr:to>
      <xdr:col>28</xdr:col>
      <xdr:colOff>426027</xdr:colOff>
      <xdr:row>23</xdr:row>
      <xdr:rowOff>42419</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A9DA823D-B9FD-45C6-A62F-4691B3BF71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796657" y="1990602"/>
              <a:ext cx="1558637" cy="2588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3.644247685188" missingItemsLimit="0" createdVersion="8" refreshedVersion="8" minRefreshableVersion="3" recordCount="179" xr:uid="{4F80FAA0-4AF7-48D0-A247-97781DBC701F}">
  <cacheSource type="worksheet">
    <worksheetSource name="Table3"/>
  </cacheSource>
  <cacheFields count="15">
    <cacheField name="Order_ID" numFmtId="0">
      <sharedItems containsSemiMixedTypes="0" containsString="0" containsNumber="1" containsInteger="1" minValue="2003" maxValue="4484"/>
    </cacheField>
    <cacheField name="Gender_Category" numFmtId="0">
      <sharedItems count="3">
        <s v="Kids"/>
        <s v="Men"/>
        <s v="Women"/>
      </sharedItems>
    </cacheField>
    <cacheField name="Product_Line" numFmtId="0">
      <sharedItems count="5">
        <s v="Training"/>
        <s v="Running"/>
        <s v="Lifestyle"/>
        <s v="Soccer"/>
        <s v="Basketball"/>
      </sharedItems>
    </cacheField>
    <cacheField name="Product_Name" numFmtId="0">
      <sharedItems/>
    </cacheField>
    <cacheField name="Size" numFmtId="0">
      <sharedItems containsBlank="1" containsMixedTypes="1" containsNumber="1" containsInteger="1" minValue="6" maxValue="12"/>
    </cacheField>
    <cacheField name="Units_Sold" numFmtId="0">
      <sharedItems containsString="0" containsBlank="1" containsNumber="1" containsInteger="1" minValue="-1" maxValue="4"/>
    </cacheField>
    <cacheField name="MRP" numFmtId="0">
      <sharedItems containsString="0" containsBlank="1" containsNumber="1" minValue="2134.23" maxValue="9995.5499999999993"/>
    </cacheField>
    <cacheField name="Discount_Applied" numFmtId="0">
      <sharedItems containsString="0" containsBlank="1" containsNumber="1" minValue="0.02" maxValue="1"/>
    </cacheField>
    <cacheField name="Revenue" numFmtId="0">
      <sharedItems containsSemiMixedTypes="0" containsString="0" containsNumber="1" minValue="-4587.99" maxValue="26105.37"/>
    </cacheField>
    <cacheField name="Order_Date" numFmtId="0">
      <sharedItems containsNonDate="0" containsDate="1" containsString="0" containsBlank="1" minDate="2023-08-13T00:00:00" maxDate="2025-07-23T00:00:00"/>
    </cacheField>
    <cacheField name="Sales_Channel" numFmtId="0">
      <sharedItems/>
    </cacheField>
    <cacheField name="Region" numFmtId="0">
      <sharedItems count="9">
        <s v="banglore"/>
        <s v="Pune"/>
        <s v="Mumbai"/>
        <s v="Delhi"/>
        <s v="hyderabaderbad"/>
        <s v="Bangalore"/>
        <s v="hyderabaderabad"/>
        <s v="Kolkata"/>
        <s v="hyderabad"/>
      </sharedItems>
    </cacheField>
    <cacheField name="Profit" numFmtId="0">
      <sharedItems containsSemiMixedTypes="0" containsString="0" containsNumber="1" minValue="-1199.45" maxValue="3954.38"/>
    </cacheField>
    <cacheField name="Month" numFmtId="0">
      <sharedItems count="12">
        <s v="Nov"/>
        <s v="Mar"/>
        <s v="Aug"/>
        <s v="Feb"/>
        <s v="Sep"/>
        <s v="Jan"/>
        <s v="Oct"/>
        <s v="Jun"/>
        <s v="Dec"/>
        <s v="Jul"/>
        <s v="May"/>
        <s v="Apr"/>
      </sharedItems>
    </cacheField>
    <cacheField name="Return_Status" numFmtId="0">
      <sharedItems count="2">
        <s v="Solid"/>
        <s v="Returned"/>
      </sharedItems>
    </cacheField>
  </cacheFields>
  <extLst>
    <ext xmlns:x14="http://schemas.microsoft.com/office/spreadsheetml/2009/9/main" uri="{725AE2AE-9491-48be-B2B4-4EB974FC3084}">
      <x14:pivotCacheDefinition pivotCacheId="861850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n v="4121"/>
    <x v="0"/>
    <x v="0"/>
    <s v="ZoomX Invincible"/>
    <n v="6"/>
    <n v="0"/>
    <n v="2763.46"/>
    <n v="1"/>
    <n v="0"/>
    <d v="2024-11-07T00:00:00"/>
    <s v="Retail"/>
    <x v="0"/>
    <n v="-399.33"/>
    <x v="0"/>
    <x v="0"/>
  </r>
  <r>
    <n v="2632"/>
    <x v="1"/>
    <x v="1"/>
    <s v="Pegasus Turbo"/>
    <s v="L"/>
    <n v="-1"/>
    <n v="7504.2"/>
    <n v="0.99"/>
    <n v="-75.040000000000006"/>
    <d v="2024-03-10T00:00:00"/>
    <s v="Online"/>
    <x v="1"/>
    <n v="2413.42"/>
    <x v="1"/>
    <x v="1"/>
  </r>
  <r>
    <n v="2912"/>
    <x v="0"/>
    <x v="1"/>
    <s v="React Infinity"/>
    <s v="XL"/>
    <n v="2"/>
    <n v="9839.6299999999992"/>
    <n v="0.98"/>
    <n v="393.59"/>
    <d v="2024-03-07T00:00:00"/>
    <s v="Online"/>
    <x v="0"/>
    <n v="1218.22"/>
    <x v="1"/>
    <x v="0"/>
  </r>
  <r>
    <n v="3143"/>
    <x v="1"/>
    <x v="0"/>
    <s v="Flex Trainer"/>
    <n v="7"/>
    <n v="3"/>
    <n v="3938.59"/>
    <n v="0.98"/>
    <n v="236.32"/>
    <d v="2024-08-23T00:00:00"/>
    <s v="Online"/>
    <x v="2"/>
    <n v="635.39"/>
    <x v="2"/>
    <x v="0"/>
  </r>
  <r>
    <n v="4283"/>
    <x v="1"/>
    <x v="0"/>
    <s v="ZoomX Invincible"/>
    <s v="M"/>
    <n v="1"/>
    <n v="9649.36"/>
    <n v="0.95"/>
    <n v="482.47"/>
    <d v="2025-02-26T00:00:00"/>
    <s v="Retail"/>
    <x v="0"/>
    <n v="1158.69"/>
    <x v="3"/>
    <x v="0"/>
  </r>
  <r>
    <n v="2048"/>
    <x v="1"/>
    <x v="2"/>
    <s v="Waffle One"/>
    <s v="M"/>
    <n v="3"/>
    <n v="6216.29"/>
    <n v="0.94"/>
    <n v="1118.93"/>
    <d v="2024-09-14T00:00:00"/>
    <s v="Online"/>
    <x v="2"/>
    <n v="-642.02"/>
    <x v="4"/>
    <x v="0"/>
  </r>
  <r>
    <n v="2886"/>
    <x v="0"/>
    <x v="1"/>
    <s v="Free RN"/>
    <s v="XL"/>
    <n v="0"/>
    <n v="8164.32"/>
    <n v="0.94"/>
    <n v="0"/>
    <d v="2024-08-19T00:00:00"/>
    <s v="Retail"/>
    <x v="1"/>
    <n v="286.3"/>
    <x v="2"/>
    <x v="0"/>
  </r>
  <r>
    <n v="3680"/>
    <x v="1"/>
    <x v="0"/>
    <s v="Flex Trainer"/>
    <s v="XL"/>
    <n v="3"/>
    <n v="8835.41"/>
    <n v="0.92"/>
    <n v="2120.5"/>
    <d v="2025-01-27T00:00:00"/>
    <s v="Retail"/>
    <x v="3"/>
    <n v="-746.28"/>
    <x v="5"/>
    <x v="0"/>
  </r>
  <r>
    <n v="2800"/>
    <x v="2"/>
    <x v="1"/>
    <s v="React Infinity"/>
    <n v="6"/>
    <n v="0"/>
    <n v="8737.08"/>
    <n v="0.9"/>
    <n v="0"/>
    <d v="2025-03-13T00:00:00"/>
    <s v="Online"/>
    <x v="3"/>
    <n v="1737"/>
    <x v="1"/>
    <x v="0"/>
  </r>
  <r>
    <n v="4060"/>
    <x v="2"/>
    <x v="3"/>
    <s v="Tiempo Legend"/>
    <s v="L"/>
    <n v="-1"/>
    <n v="8655.4599999999991"/>
    <n v="0.9"/>
    <n v="-865.55"/>
    <d v="2024-08-20T00:00:00"/>
    <s v="Online"/>
    <x v="1"/>
    <n v="3159.11"/>
    <x v="2"/>
    <x v="1"/>
  </r>
  <r>
    <n v="2569"/>
    <x v="2"/>
    <x v="4"/>
    <s v="Air Jordan"/>
    <s v="L"/>
    <n v="2"/>
    <n v="9605.11"/>
    <n v="0.88"/>
    <n v="2305.23"/>
    <d v="2024-08-24T00:00:00"/>
    <s v="Online"/>
    <x v="4"/>
    <n v="128.88999999999999"/>
    <x v="2"/>
    <x v="0"/>
  </r>
  <r>
    <n v="2432"/>
    <x v="2"/>
    <x v="4"/>
    <s v="Zoom Freak"/>
    <s v="L"/>
    <n v="1"/>
    <n v="3036.61"/>
    <n v="0.86"/>
    <n v="425.13"/>
    <d v="2024-10-26T00:00:00"/>
    <s v="Online"/>
    <x v="2"/>
    <n v="3754.3"/>
    <x v="6"/>
    <x v="0"/>
  </r>
  <r>
    <n v="4066"/>
    <x v="0"/>
    <x v="1"/>
    <s v="React Infinity"/>
    <s v="L"/>
    <n v="4"/>
    <n v="6599.26"/>
    <n v="0.85"/>
    <n v="3959.56"/>
    <d v="2025-06-29T00:00:00"/>
    <s v="Retail"/>
    <x v="5"/>
    <n v="3344.47"/>
    <x v="7"/>
    <x v="0"/>
  </r>
  <r>
    <n v="2367"/>
    <x v="0"/>
    <x v="2"/>
    <s v="Dunk Low"/>
    <s v="XL"/>
    <n v="4"/>
    <n v="6202.99"/>
    <n v="0.84"/>
    <n v="3969.91"/>
    <d v="2024-11-12T00:00:00"/>
    <s v="Online"/>
    <x v="5"/>
    <n v="-202.12"/>
    <x v="0"/>
    <x v="0"/>
  </r>
  <r>
    <n v="4220"/>
    <x v="0"/>
    <x v="2"/>
    <s v="Dunk Low"/>
    <s v="M"/>
    <n v="2"/>
    <n v="2290.64"/>
    <n v="0.84"/>
    <n v="733"/>
    <d v="2025-01-31T00:00:00"/>
    <s v="Retail"/>
    <x v="3"/>
    <n v="608.16"/>
    <x v="5"/>
    <x v="0"/>
  </r>
  <r>
    <n v="4111"/>
    <x v="2"/>
    <x v="2"/>
    <s v="Waffle One"/>
    <s v="L"/>
    <n v="-1"/>
    <n v="4934.05"/>
    <n v="0.83"/>
    <n v="-838.79"/>
    <d v="2024-11-26T00:00:00"/>
    <s v="Retail"/>
    <x v="0"/>
    <n v="2377.84"/>
    <x v="0"/>
    <x v="1"/>
  </r>
  <r>
    <n v="3759"/>
    <x v="2"/>
    <x v="4"/>
    <s v="LeBron 20"/>
    <n v="12"/>
    <n v="0"/>
    <n v="9605.6"/>
    <n v="0.81"/>
    <n v="0"/>
    <d v="2025-02-03T00:00:00"/>
    <s v="Online"/>
    <x v="6"/>
    <n v="1611.59"/>
    <x v="3"/>
    <x v="0"/>
  </r>
  <r>
    <n v="2487"/>
    <x v="1"/>
    <x v="1"/>
    <s v="Air Zoom"/>
    <s v="L"/>
    <n v="3"/>
    <n v="5881.13"/>
    <n v="0.8"/>
    <n v="3528.68"/>
    <d v="2025-03-31T00:00:00"/>
    <s v="Online"/>
    <x v="4"/>
    <n v="2108.4"/>
    <x v="1"/>
    <x v="0"/>
  </r>
  <r>
    <n v="4484"/>
    <x v="1"/>
    <x v="4"/>
    <s v="Air Jordan"/>
    <n v="11"/>
    <n v="3"/>
    <n v="5981.92"/>
    <n v="0.8"/>
    <n v="3589.15"/>
    <d v="2024-12-12T00:00:00"/>
    <s v="Retail"/>
    <x v="4"/>
    <n v="-751.05"/>
    <x v="8"/>
    <x v="0"/>
  </r>
  <r>
    <n v="2434"/>
    <x v="0"/>
    <x v="0"/>
    <s v="Metcon 7"/>
    <s v="M"/>
    <n v="-1"/>
    <n v="3019.25"/>
    <n v="0.79"/>
    <n v="-634.04"/>
    <d v="2025-02-11T00:00:00"/>
    <s v="Online"/>
    <x v="6"/>
    <n v="387.15"/>
    <x v="3"/>
    <x v="1"/>
  </r>
  <r>
    <n v="2300"/>
    <x v="1"/>
    <x v="4"/>
    <s v="Air Jordan"/>
    <s v="L"/>
    <n v="3"/>
    <n v="6331.64"/>
    <n v="0.78"/>
    <n v="4178.88"/>
    <d v="2024-08-17T00:00:00"/>
    <s v="Retail"/>
    <x v="3"/>
    <n v="3380.28"/>
    <x v="2"/>
    <x v="0"/>
  </r>
  <r>
    <n v="2389"/>
    <x v="2"/>
    <x v="4"/>
    <s v="Kyrie Flytrap"/>
    <s v="XL"/>
    <n v="0"/>
    <n v="7901.16"/>
    <n v="0.77"/>
    <n v="0"/>
    <d v="2024-10-08T00:00:00"/>
    <s v="Online"/>
    <x v="3"/>
    <n v="-406.39"/>
    <x v="6"/>
    <x v="0"/>
  </r>
  <r>
    <n v="2572"/>
    <x v="1"/>
    <x v="2"/>
    <s v="Waffle One"/>
    <s v="XL"/>
    <n v="-1"/>
    <n v="2729.99"/>
    <n v="0.76"/>
    <n v="-655.20000000000005"/>
    <d v="2024-01-31T00:00:00"/>
    <s v="Retail"/>
    <x v="1"/>
    <n v="1204.81"/>
    <x v="5"/>
    <x v="1"/>
  </r>
  <r>
    <n v="4023"/>
    <x v="2"/>
    <x v="1"/>
    <s v="Free RN"/>
    <s v="XL"/>
    <n v="0"/>
    <n v="2376.12"/>
    <n v="0.76"/>
    <n v="0"/>
    <d v="2024-11-28T00:00:00"/>
    <s v="Online"/>
    <x v="4"/>
    <n v="1267.4100000000001"/>
    <x v="0"/>
    <x v="0"/>
  </r>
  <r>
    <n v="2490"/>
    <x v="2"/>
    <x v="3"/>
    <s v="Premier III"/>
    <s v="L"/>
    <n v="3"/>
    <n v="5015.1899999999996"/>
    <n v="0.75"/>
    <n v="3761.39"/>
    <d v="2024-11-26T00:00:00"/>
    <s v="Online"/>
    <x v="4"/>
    <n v="-494.53"/>
    <x v="0"/>
    <x v="0"/>
  </r>
  <r>
    <n v="2836"/>
    <x v="1"/>
    <x v="4"/>
    <s v="Kyrie Flytrap"/>
    <s v="L"/>
    <n v="0"/>
    <n v="9098.9"/>
    <n v="0.75"/>
    <n v="0"/>
    <d v="2025-07-22T00:00:00"/>
    <s v="Retail"/>
    <x v="3"/>
    <n v="2729.87"/>
    <x v="9"/>
    <x v="0"/>
  </r>
  <r>
    <n v="2135"/>
    <x v="1"/>
    <x v="4"/>
    <s v="Zoom Freak"/>
    <s v="L"/>
    <n v="2"/>
    <n v="9106.61"/>
    <n v="0.74"/>
    <n v="4735.4399999999996"/>
    <d v="2024-11-03T00:00:00"/>
    <s v="Retail"/>
    <x v="4"/>
    <n v="2422.38"/>
    <x v="0"/>
    <x v="0"/>
  </r>
  <r>
    <n v="3175"/>
    <x v="2"/>
    <x v="2"/>
    <s v="Dunk Low"/>
    <n v="10"/>
    <n v="-1"/>
    <n v="6583.76"/>
    <n v="0.71"/>
    <n v="-1909.29"/>
    <d v="2024-12-09T00:00:00"/>
    <s v="Retail"/>
    <x v="2"/>
    <n v="2194.69"/>
    <x v="8"/>
    <x v="1"/>
  </r>
  <r>
    <n v="3874"/>
    <x v="2"/>
    <x v="4"/>
    <s v="LeBron 20"/>
    <s v="XL"/>
    <n v="4"/>
    <n v="3305.6"/>
    <n v="0.7"/>
    <n v="3966.72"/>
    <d v="2024-08-27T00:00:00"/>
    <s v="Online"/>
    <x v="7"/>
    <n v="1605.13"/>
    <x v="2"/>
    <x v="0"/>
  </r>
  <r>
    <n v="2781"/>
    <x v="1"/>
    <x v="0"/>
    <s v="Metcon 7"/>
    <n v="12"/>
    <n v="1"/>
    <n v="6546.59"/>
    <n v="0.68"/>
    <n v="2094.91"/>
    <d v="2023-09-03T00:00:00"/>
    <s v="Retail"/>
    <x v="5"/>
    <n v="1504.31"/>
    <x v="4"/>
    <x v="0"/>
  </r>
  <r>
    <n v="2594"/>
    <x v="2"/>
    <x v="0"/>
    <s v="ZoomX Invincible"/>
    <s v="XL"/>
    <n v="3"/>
    <n v="7944.34"/>
    <n v="0.67"/>
    <n v="7864.9"/>
    <d v="2024-02-23T00:00:00"/>
    <s v="Retail"/>
    <x v="4"/>
    <n v="1534.91"/>
    <x v="3"/>
    <x v="0"/>
  </r>
  <r>
    <n v="3988"/>
    <x v="0"/>
    <x v="2"/>
    <s v="Blazer Mid"/>
    <s v="M"/>
    <n v="4"/>
    <n v="7945.46"/>
    <n v="0.67"/>
    <n v="10488.01"/>
    <d v="2024-10-10T00:00:00"/>
    <s v="Online"/>
    <x v="1"/>
    <n v="3698.62"/>
    <x v="6"/>
    <x v="0"/>
  </r>
  <r>
    <n v="2021"/>
    <x v="1"/>
    <x v="1"/>
    <s v="Free RN"/>
    <s v="L"/>
    <n v="-1"/>
    <n v="7086.7"/>
    <n v="0.66"/>
    <n v="-2409.48"/>
    <d v="2024-11-19T00:00:00"/>
    <s v="Retail"/>
    <x v="8"/>
    <n v="-1120.49"/>
    <x v="0"/>
    <x v="1"/>
  </r>
  <r>
    <n v="2880"/>
    <x v="0"/>
    <x v="4"/>
    <s v="Air Jordan"/>
    <n v="9"/>
    <n v="0"/>
    <n v="8132.33"/>
    <n v="0.63"/>
    <n v="0"/>
    <d v="2025-05-19T00:00:00"/>
    <s v="Retail"/>
    <x v="3"/>
    <n v="191.67"/>
    <x v="10"/>
    <x v="0"/>
  </r>
  <r>
    <n v="2468"/>
    <x v="2"/>
    <x v="3"/>
    <s v="Phantom GT"/>
    <n v="7"/>
    <n v="0"/>
    <n v="6012.23"/>
    <n v="0.62"/>
    <n v="0"/>
    <d v="2024-10-26T00:00:00"/>
    <s v="Retail"/>
    <x v="0"/>
    <n v="-1113.25"/>
    <x v="6"/>
    <x v="0"/>
  </r>
  <r>
    <n v="2089"/>
    <x v="2"/>
    <x v="0"/>
    <s v="Flex Trainer"/>
    <s v="L"/>
    <n v="2"/>
    <n v="6874.77"/>
    <n v="0.6"/>
    <n v="5499.82"/>
    <d v="2024-12-02T00:00:00"/>
    <s v="Online"/>
    <x v="2"/>
    <n v="-1076.6600000000001"/>
    <x v="8"/>
    <x v="0"/>
  </r>
  <r>
    <n v="4249"/>
    <x v="0"/>
    <x v="0"/>
    <s v="Flex Trainer"/>
    <s v="L"/>
    <n v="1"/>
    <n v="2902.95"/>
    <n v="0.6"/>
    <n v="1161.18"/>
    <d v="2024-10-11T00:00:00"/>
    <s v="Retail"/>
    <x v="0"/>
    <n v="-855.08"/>
    <x v="6"/>
    <x v="0"/>
  </r>
  <r>
    <n v="4463"/>
    <x v="1"/>
    <x v="3"/>
    <s v="Premier III"/>
    <n v="11"/>
    <n v="3"/>
    <n v="8317.5300000000007"/>
    <n v="0.6"/>
    <n v="9981.0400000000009"/>
    <d v="2025-06-07T00:00:00"/>
    <s v="Retail"/>
    <x v="1"/>
    <n v="1821.65"/>
    <x v="7"/>
    <x v="0"/>
  </r>
  <r>
    <n v="2185"/>
    <x v="2"/>
    <x v="0"/>
    <s v="ZoomX Invincible"/>
    <s v="XL"/>
    <n v="4"/>
    <n v="4207.4399999999996"/>
    <n v="0.59"/>
    <n v="6900.2"/>
    <d v="2025-06-08T00:00:00"/>
    <s v="Online"/>
    <x v="7"/>
    <n v="-615.48"/>
    <x v="7"/>
    <x v="0"/>
  </r>
  <r>
    <n v="2621"/>
    <x v="0"/>
    <x v="3"/>
    <s v="Phantom GT"/>
    <s v="L"/>
    <n v="3"/>
    <n v="6466.57"/>
    <n v="0.59"/>
    <n v="7953.88"/>
    <d v="2024-05-19T00:00:00"/>
    <s v="Online"/>
    <x v="5"/>
    <n v="-1152.8599999999999"/>
    <x v="10"/>
    <x v="0"/>
  </r>
  <r>
    <n v="3206"/>
    <x v="0"/>
    <x v="4"/>
    <s v="Kyrie Flytrap"/>
    <s v="L"/>
    <n v="-1"/>
    <n v="4694.72"/>
    <n v="0.57999999999999996"/>
    <n v="-1971.78"/>
    <d v="2024-03-25T00:00:00"/>
    <s v="Retail"/>
    <x v="5"/>
    <n v="3611.24"/>
    <x v="1"/>
    <x v="1"/>
  </r>
  <r>
    <n v="2942"/>
    <x v="2"/>
    <x v="0"/>
    <s v="Flex Trainer"/>
    <n v="10"/>
    <n v="4"/>
    <n v="5222.3900000000003"/>
    <n v="0.56999999999999995"/>
    <n v="8982.51"/>
    <d v="2025-04-16T00:00:00"/>
    <s v="Online"/>
    <x v="5"/>
    <n v="-68.53"/>
    <x v="11"/>
    <x v="0"/>
  </r>
  <r>
    <n v="4352"/>
    <x v="1"/>
    <x v="1"/>
    <s v="Pegasus Turbo"/>
    <n v="9"/>
    <n v="-1"/>
    <n v="9332.64"/>
    <n v="0.56999999999999995"/>
    <n v="-4013.04"/>
    <d v="2025-01-10T00:00:00"/>
    <s v="Retail"/>
    <x v="7"/>
    <n v="-238.9"/>
    <x v="5"/>
    <x v="1"/>
  </r>
  <r>
    <n v="2325"/>
    <x v="1"/>
    <x v="4"/>
    <s v="Zoom Freak"/>
    <s v="M"/>
    <n v="0"/>
    <n v="8031.83"/>
    <n v="0.56000000000000005"/>
    <n v="0"/>
    <d v="2025-05-18T00:00:00"/>
    <s v="Online"/>
    <x v="7"/>
    <n v="3954.38"/>
    <x v="10"/>
    <x v="0"/>
  </r>
  <r>
    <n v="2713"/>
    <x v="1"/>
    <x v="2"/>
    <s v="Air Force 1"/>
    <s v="L"/>
    <n v="1"/>
    <n v="7877.36"/>
    <n v="0.55000000000000004"/>
    <n v="3544.81"/>
    <d v="2025-05-10T00:00:00"/>
    <s v="Retail"/>
    <x v="7"/>
    <n v="3663.49"/>
    <x v="10"/>
    <x v="0"/>
  </r>
  <r>
    <n v="2563"/>
    <x v="1"/>
    <x v="3"/>
    <s v="Mercurial Superfly"/>
    <s v="M"/>
    <n v="2"/>
    <n v="9443.35"/>
    <n v="0.54"/>
    <n v="8687.8799999999992"/>
    <d v="2025-04-13T00:00:00"/>
    <s v="Retail"/>
    <x v="7"/>
    <n v="2706.61"/>
    <x v="11"/>
    <x v="0"/>
  </r>
  <r>
    <n v="2904"/>
    <x v="2"/>
    <x v="3"/>
    <s v="Tiempo Legend"/>
    <n v="9"/>
    <n v="2"/>
    <n v="8644.67"/>
    <n v="0.54"/>
    <n v="7953.1"/>
    <d v="2025-04-29T00:00:00"/>
    <s v="Online"/>
    <x v="0"/>
    <n v="2711.75"/>
    <x v="11"/>
    <x v="0"/>
  </r>
  <r>
    <n v="3932"/>
    <x v="0"/>
    <x v="0"/>
    <s v="SuperRep Go"/>
    <s v="L"/>
    <n v="4"/>
    <n v="4520.97"/>
    <n v="0.54"/>
    <n v="8318.58"/>
    <d v="2025-06-10T00:00:00"/>
    <s v="Retail"/>
    <x v="5"/>
    <n v="1289.3599999999999"/>
    <x v="7"/>
    <x v="0"/>
  </r>
  <r>
    <n v="3868"/>
    <x v="2"/>
    <x v="1"/>
    <s v="Free RN"/>
    <n v="11"/>
    <n v="0"/>
    <n v="3554.76"/>
    <n v="0.51"/>
    <n v="0"/>
    <d v="2025-04-27T00:00:00"/>
    <s v="Online"/>
    <x v="5"/>
    <n v="-593.5"/>
    <x v="11"/>
    <x v="0"/>
  </r>
  <r>
    <n v="2369"/>
    <x v="1"/>
    <x v="4"/>
    <s v="LeBron 20"/>
    <s v="XL"/>
    <n v="0"/>
    <n v="4248.21"/>
    <n v="0.5"/>
    <n v="0"/>
    <d v="2025-07-11T00:00:00"/>
    <s v="Online"/>
    <x v="6"/>
    <n v="2427.86"/>
    <x v="9"/>
    <x v="0"/>
  </r>
  <r>
    <n v="3357"/>
    <x v="0"/>
    <x v="0"/>
    <s v="Flex Trainer"/>
    <s v="M"/>
    <n v="4"/>
    <n v="6206.45"/>
    <n v="0.5"/>
    <n v="12412.9"/>
    <d v="2025-04-05T00:00:00"/>
    <s v="Online"/>
    <x v="3"/>
    <n v="678.42"/>
    <x v="11"/>
    <x v="0"/>
  </r>
  <r>
    <n v="2071"/>
    <x v="0"/>
    <x v="2"/>
    <s v="Blazer Mid"/>
    <s v="M"/>
    <n v="3"/>
    <n v="7849.81"/>
    <n v="0.49"/>
    <n v="12010.21"/>
    <d v="2025-01-12T00:00:00"/>
    <s v="Retail"/>
    <x v="1"/>
    <n v="-882.96"/>
    <x v="5"/>
    <x v="0"/>
  </r>
  <r>
    <n v="4127"/>
    <x v="2"/>
    <x v="1"/>
    <s v="Free RN"/>
    <s v="L"/>
    <n v="-1"/>
    <n v="4690.1499999999996"/>
    <n v="0.49"/>
    <n v="-2391.98"/>
    <d v="2024-12-21T00:00:00"/>
    <s v="Online"/>
    <x v="7"/>
    <n v="1331.92"/>
    <x v="8"/>
    <x v="1"/>
  </r>
  <r>
    <n v="2150"/>
    <x v="2"/>
    <x v="4"/>
    <s v="LeBron 20"/>
    <s v="M"/>
    <n v="2"/>
    <n v="3313.21"/>
    <n v="0.48"/>
    <n v="3445.74"/>
    <d v="2025-07-06T00:00:00"/>
    <s v="Online"/>
    <x v="0"/>
    <n v="3221.62"/>
    <x v="9"/>
    <x v="0"/>
  </r>
  <r>
    <n v="2709"/>
    <x v="0"/>
    <x v="1"/>
    <s v="Free RN"/>
    <n v="10"/>
    <n v="1"/>
    <n v="6302.98"/>
    <n v="0.48"/>
    <n v="3277.55"/>
    <d v="2025-03-08T00:00:00"/>
    <s v="Retail"/>
    <x v="3"/>
    <n v="2835.93"/>
    <x v="1"/>
    <x v="0"/>
  </r>
  <r>
    <n v="3104"/>
    <x v="1"/>
    <x v="1"/>
    <s v="Free RN"/>
    <s v="L"/>
    <n v="0"/>
    <n v="7734.26"/>
    <n v="0.47"/>
    <n v="0"/>
    <d v="2025-02-09T00:00:00"/>
    <s v="Online"/>
    <x v="5"/>
    <n v="1921.82"/>
    <x v="3"/>
    <x v="0"/>
  </r>
  <r>
    <n v="3127"/>
    <x v="1"/>
    <x v="0"/>
    <s v="ZoomX Invincible"/>
    <s v="XL"/>
    <n v="1"/>
    <n v="4614.33"/>
    <n v="0.47"/>
    <n v="2445.59"/>
    <d v="2024-10-07T00:00:00"/>
    <s v="Online"/>
    <x v="1"/>
    <n v="-440.44"/>
    <x v="6"/>
    <x v="0"/>
  </r>
  <r>
    <n v="4088"/>
    <x v="1"/>
    <x v="0"/>
    <s v="Flex Trainer"/>
    <s v="M"/>
    <n v="2"/>
    <n v="5649.73"/>
    <n v="0.41"/>
    <n v="6666.68"/>
    <d v="2025-03-16T00:00:00"/>
    <s v="Retail"/>
    <x v="2"/>
    <n v="1548.1"/>
    <x v="1"/>
    <x v="0"/>
  </r>
  <r>
    <n v="4370"/>
    <x v="2"/>
    <x v="1"/>
    <s v="Pegasus Turbo"/>
    <s v="L"/>
    <n v="2"/>
    <n v="5046.05"/>
    <n v="0.38"/>
    <n v="6257.1"/>
    <d v="2024-10-13T00:00:00"/>
    <s v="Retail"/>
    <x v="2"/>
    <n v="2530.73"/>
    <x v="6"/>
    <x v="0"/>
  </r>
  <r>
    <n v="2460"/>
    <x v="2"/>
    <x v="4"/>
    <s v="Zoom Freak"/>
    <s v="XL"/>
    <n v="2"/>
    <n v="5482.96"/>
    <n v="0.35"/>
    <n v="7127.85"/>
    <d v="2024-11-04T00:00:00"/>
    <s v="Online"/>
    <x v="7"/>
    <n v="-823.8"/>
    <x v="0"/>
    <x v="0"/>
  </r>
  <r>
    <n v="3698"/>
    <x v="2"/>
    <x v="4"/>
    <s v="Zoom Freak"/>
    <s v="L"/>
    <n v="0"/>
    <n v="7268.55"/>
    <n v="0.34"/>
    <n v="0"/>
    <d v="2025-02-18T00:00:00"/>
    <s v="Retail"/>
    <x v="3"/>
    <n v="219.99"/>
    <x v="3"/>
    <x v="0"/>
  </r>
  <r>
    <n v="3189"/>
    <x v="1"/>
    <x v="4"/>
    <s v="LeBron 20"/>
    <s v="L"/>
    <n v="3"/>
    <n v="6730.48"/>
    <n v="0.33"/>
    <n v="13528.26"/>
    <d v="2025-02-08T00:00:00"/>
    <s v="Online"/>
    <x v="7"/>
    <n v="1456.87"/>
    <x v="3"/>
    <x v="0"/>
  </r>
  <r>
    <n v="2019"/>
    <x v="0"/>
    <x v="1"/>
    <s v="Air Zoom"/>
    <n v="6"/>
    <n v="0"/>
    <n v="3424.06"/>
    <n v="0.32"/>
    <n v="0"/>
    <d v="2025-01-17T00:00:00"/>
    <s v="Online"/>
    <x v="6"/>
    <n v="1915.24"/>
    <x v="5"/>
    <x v="0"/>
  </r>
  <r>
    <n v="2496"/>
    <x v="0"/>
    <x v="1"/>
    <s v="React Infinity"/>
    <s v="M"/>
    <n v="2"/>
    <n v="4110.72"/>
    <n v="0.32"/>
    <n v="5590.58"/>
    <d v="2024-12-24T00:00:00"/>
    <s v="Retail"/>
    <x v="0"/>
    <n v="3894.95"/>
    <x v="8"/>
    <x v="0"/>
  </r>
  <r>
    <n v="3672"/>
    <x v="2"/>
    <x v="3"/>
    <s v="Tiempo Legend"/>
    <n v="7"/>
    <n v="3"/>
    <n v="7127.18"/>
    <n v="0.32"/>
    <n v="14539.45"/>
    <d v="2024-08-16T00:00:00"/>
    <s v="Online"/>
    <x v="3"/>
    <n v="2651.63"/>
    <x v="2"/>
    <x v="0"/>
  </r>
  <r>
    <n v="4326"/>
    <x v="2"/>
    <x v="2"/>
    <s v="Air Force 1"/>
    <s v="XL"/>
    <n v="0"/>
    <n v="9604.84"/>
    <n v="0.31"/>
    <n v="0"/>
    <d v="2024-06-06T00:00:00"/>
    <s v="Retail"/>
    <x v="3"/>
    <n v="-143.11000000000001"/>
    <x v="7"/>
    <x v="0"/>
  </r>
  <r>
    <n v="3409"/>
    <x v="0"/>
    <x v="1"/>
    <s v="Air Zoom"/>
    <s v="M"/>
    <n v="1"/>
    <n v="6312.01"/>
    <n v="0.3"/>
    <n v="4418.41"/>
    <d v="2024-09-08T00:00:00"/>
    <s v="Retail"/>
    <x v="3"/>
    <n v="-1106.07"/>
    <x v="4"/>
    <x v="0"/>
  </r>
  <r>
    <n v="2328"/>
    <x v="1"/>
    <x v="2"/>
    <s v="Waffle One"/>
    <n v="6"/>
    <n v="2"/>
    <n v="6449.46"/>
    <n v="0.28999999999999998"/>
    <n v="9158.23"/>
    <d v="2024-11-09T00:00:00"/>
    <s v="Online"/>
    <x v="2"/>
    <n v="39.69"/>
    <x v="0"/>
    <x v="0"/>
  </r>
  <r>
    <n v="2936"/>
    <x v="2"/>
    <x v="0"/>
    <s v="Flex Trainer"/>
    <s v="XL"/>
    <n v="1"/>
    <n v="6496.58"/>
    <n v="0.28999999999999998"/>
    <n v="4612.57"/>
    <d v="2024-07-31T00:00:00"/>
    <s v="Retail"/>
    <x v="1"/>
    <n v="1933.1"/>
    <x v="9"/>
    <x v="0"/>
  </r>
  <r>
    <n v="3165"/>
    <x v="2"/>
    <x v="3"/>
    <s v="Phantom GT"/>
    <s v="XL"/>
    <n v="2"/>
    <n v="2530.29"/>
    <n v="0.28999999999999998"/>
    <n v="3593.01"/>
    <d v="2025-02-17T00:00:00"/>
    <s v="Online"/>
    <x v="7"/>
    <n v="3264.03"/>
    <x v="3"/>
    <x v="0"/>
  </r>
  <r>
    <n v="4400"/>
    <x v="2"/>
    <x v="2"/>
    <s v="Air Force 1"/>
    <s v="M"/>
    <n v="4"/>
    <n v="7798.57"/>
    <n v="0.28000000000000003"/>
    <n v="22459.88"/>
    <d v="2025-05-27T00:00:00"/>
    <s v="Retail"/>
    <x v="7"/>
    <n v="1334.4"/>
    <x v="10"/>
    <x v="0"/>
  </r>
  <r>
    <n v="4446"/>
    <x v="1"/>
    <x v="3"/>
    <s v="Mercurial Superfly"/>
    <s v="M"/>
    <n v="2"/>
    <n v="3469.31"/>
    <n v="0.28000000000000003"/>
    <n v="4995.8100000000004"/>
    <d v="2025-01-26T00:00:00"/>
    <s v="Retail"/>
    <x v="1"/>
    <n v="2671.58"/>
    <x v="5"/>
    <x v="0"/>
  </r>
  <r>
    <n v="3755"/>
    <x v="2"/>
    <x v="3"/>
    <s v="Phantom GT"/>
    <n v="8"/>
    <n v="4"/>
    <n v="2342.16"/>
    <n v="0.25"/>
    <n v="7026.48"/>
    <d v="2025-04-20T00:00:00"/>
    <s v="Retail"/>
    <x v="2"/>
    <n v="1007"/>
    <x v="11"/>
    <x v="0"/>
  </r>
  <r>
    <n v="2248"/>
    <x v="1"/>
    <x v="0"/>
    <s v="Metcon 7"/>
    <s v="M"/>
    <n v="4"/>
    <n v="8249.9599999999991"/>
    <n v="0.24"/>
    <n v="25079.88"/>
    <d v="2024-01-16T00:00:00"/>
    <s v="Online"/>
    <x v="0"/>
    <n v="1625.14"/>
    <x v="5"/>
    <x v="0"/>
  </r>
  <r>
    <n v="3428"/>
    <x v="2"/>
    <x v="4"/>
    <s v="Air Jordan"/>
    <n v="6"/>
    <n v="1"/>
    <n v="2825.86"/>
    <n v="0.23"/>
    <n v="2175.91"/>
    <d v="2024-12-03T00:00:00"/>
    <s v="Online"/>
    <x v="5"/>
    <n v="625.29999999999995"/>
    <x v="8"/>
    <x v="0"/>
  </r>
  <r>
    <n v="2003"/>
    <x v="2"/>
    <x v="2"/>
    <s v="Waffle One"/>
    <s v="XL"/>
    <n v="2"/>
    <n v="8516.4500000000007"/>
    <n v="0.22"/>
    <n v="13285.66"/>
    <d v="2023-09-30T00:00:00"/>
    <s v="Online"/>
    <x v="7"/>
    <n v="1764.52"/>
    <x v="4"/>
    <x v="0"/>
  </r>
  <r>
    <n v="3217"/>
    <x v="1"/>
    <x v="3"/>
    <s v="Tiempo Legend"/>
    <n v="6"/>
    <n v="1"/>
    <n v="4819.75"/>
    <n v="0.22"/>
    <n v="3759.41"/>
    <d v="2025-02-15T00:00:00"/>
    <s v="Retail"/>
    <x v="1"/>
    <n v="-514.9"/>
    <x v="3"/>
    <x v="0"/>
  </r>
  <r>
    <n v="3722"/>
    <x v="0"/>
    <x v="0"/>
    <s v="ZoomX Invincible"/>
    <n v="7"/>
    <n v="1"/>
    <n v="9335"/>
    <n v="0.22"/>
    <n v="7281.3"/>
    <d v="2023-11-21T00:00:00"/>
    <s v="Retail"/>
    <x v="2"/>
    <n v="1787.45"/>
    <x v="0"/>
    <x v="0"/>
  </r>
  <r>
    <n v="2535"/>
    <x v="1"/>
    <x v="3"/>
    <s v="Tiempo Legend"/>
    <s v="XL"/>
    <n v="2"/>
    <n v="2786.84"/>
    <n v="0.21"/>
    <n v="4403.21"/>
    <d v="2025-01-25T00:00:00"/>
    <s v="Online"/>
    <x v="2"/>
    <n v="3345.36"/>
    <x v="5"/>
    <x v="0"/>
  </r>
  <r>
    <n v="3977"/>
    <x v="1"/>
    <x v="3"/>
    <s v="Mercurial Superfly"/>
    <s v="L"/>
    <n v="0"/>
    <n v="7483.74"/>
    <n v="0.21"/>
    <n v="0"/>
    <d v="2025-05-11T00:00:00"/>
    <s v="Online"/>
    <x v="3"/>
    <n v="2545.4899999999998"/>
    <x v="10"/>
    <x v="0"/>
  </r>
  <r>
    <n v="3741"/>
    <x v="0"/>
    <x v="2"/>
    <s v="Air Force 1"/>
    <s v="L"/>
    <n v="2"/>
    <n v="8927.2199999999993"/>
    <n v="0.2"/>
    <n v="14283.55"/>
    <d v="2025-07-13T00:00:00"/>
    <s v="Retail"/>
    <x v="7"/>
    <n v="821.32"/>
    <x v="9"/>
    <x v="0"/>
  </r>
  <r>
    <n v="4108"/>
    <x v="0"/>
    <x v="1"/>
    <s v="Pegasus Turbo"/>
    <s v="L"/>
    <n v="2"/>
    <n v="2767.55"/>
    <n v="0.19"/>
    <n v="4483.43"/>
    <d v="2023-11-25T00:00:00"/>
    <s v="Online"/>
    <x v="7"/>
    <n v="1059.07"/>
    <x v="0"/>
    <x v="0"/>
  </r>
  <r>
    <n v="3273"/>
    <x v="2"/>
    <x v="3"/>
    <s v="Phantom GT"/>
    <s v="M"/>
    <n v="-1"/>
    <n v="5527.7"/>
    <n v="0.17"/>
    <n v="-4587.99"/>
    <d v="2024-02-04T00:00:00"/>
    <s v="Online"/>
    <x v="0"/>
    <n v="2577.59"/>
    <x v="3"/>
    <x v="1"/>
  </r>
  <r>
    <n v="2063"/>
    <x v="2"/>
    <x v="4"/>
    <s v="Air Jordan"/>
    <s v="M"/>
    <n v="1"/>
    <n v="9751"/>
    <n v="0.16"/>
    <n v="8190.84"/>
    <d v="2024-09-06T00:00:00"/>
    <s v="Retail"/>
    <x v="1"/>
    <n v="1130.31"/>
    <x v="4"/>
    <x v="0"/>
  </r>
  <r>
    <n v="4310"/>
    <x v="0"/>
    <x v="4"/>
    <s v="Zoom Freak"/>
    <s v="XL"/>
    <n v="0"/>
    <n v="9745.69"/>
    <n v="0.16"/>
    <n v="0"/>
    <d v="2025-06-17T00:00:00"/>
    <s v="Retail"/>
    <x v="3"/>
    <n v="138.5"/>
    <x v="7"/>
    <x v="0"/>
  </r>
  <r>
    <n v="3274"/>
    <x v="1"/>
    <x v="0"/>
    <s v="SuperRep Go"/>
    <s v="L"/>
    <n v="3"/>
    <n v="6031.14"/>
    <n v="0.15"/>
    <n v="15379.41"/>
    <d v="2025-05-03T00:00:00"/>
    <s v="Retail"/>
    <x v="4"/>
    <n v="169.05"/>
    <x v="10"/>
    <x v="0"/>
  </r>
  <r>
    <n v="3761"/>
    <x v="2"/>
    <x v="4"/>
    <s v="Zoom Freak"/>
    <s v="L"/>
    <n v="4"/>
    <n v="2972.38"/>
    <n v="0.14000000000000001"/>
    <n v="10224.99"/>
    <d v="2024-11-18T00:00:00"/>
    <s v="Online"/>
    <x v="8"/>
    <n v="2569.7399999999998"/>
    <x v="0"/>
    <x v="0"/>
  </r>
  <r>
    <n v="3906"/>
    <x v="1"/>
    <x v="2"/>
    <s v="Dunk Low"/>
    <s v="XL"/>
    <n v="4"/>
    <n v="7588.77"/>
    <n v="0.14000000000000001"/>
    <n v="26105.37"/>
    <d v="2024-09-04T00:00:00"/>
    <s v="Online"/>
    <x v="4"/>
    <n v="3435.73"/>
    <x v="4"/>
    <x v="0"/>
  </r>
  <r>
    <n v="2615"/>
    <x v="2"/>
    <x v="3"/>
    <s v="Phantom GT"/>
    <s v="XL"/>
    <n v="3"/>
    <n v="3042.37"/>
    <n v="0.12"/>
    <n v="8031.86"/>
    <d v="2025-03-24T00:00:00"/>
    <s v="Online"/>
    <x v="1"/>
    <n v="2105.48"/>
    <x v="1"/>
    <x v="0"/>
  </r>
  <r>
    <n v="4445"/>
    <x v="2"/>
    <x v="0"/>
    <s v="Metcon 7"/>
    <s v="XL"/>
    <n v="1"/>
    <n v="5915.27"/>
    <n v="0.12"/>
    <n v="5205.4399999999996"/>
    <d v="2024-12-15T00:00:00"/>
    <s v="Retail"/>
    <x v="2"/>
    <n v="3456.95"/>
    <x v="8"/>
    <x v="0"/>
  </r>
  <r>
    <n v="2019"/>
    <x v="1"/>
    <x v="2"/>
    <s v="Air Force 1"/>
    <s v="L"/>
    <n v="-1"/>
    <n v="2452.52"/>
    <n v="0.12"/>
    <n v="-2158.2199999999998"/>
    <d v="2024-07-26T00:00:00"/>
    <s v="Retail"/>
    <x v="8"/>
    <n v="-1199.45"/>
    <x v="9"/>
    <x v="1"/>
  </r>
  <r>
    <n v="2222"/>
    <x v="1"/>
    <x v="0"/>
    <s v="ZoomX Invincible"/>
    <s v="XL"/>
    <n v="2"/>
    <n v="8897.19"/>
    <n v="0.11"/>
    <n v="15837"/>
    <d v="2024-12-21T00:00:00"/>
    <s v="Retail"/>
    <x v="2"/>
    <n v="2821.69"/>
    <x v="8"/>
    <x v="0"/>
  </r>
  <r>
    <n v="3279"/>
    <x v="0"/>
    <x v="3"/>
    <s v="Mercurial Superfly"/>
    <s v="XL"/>
    <n v="4"/>
    <n v="2572.41"/>
    <n v="0.1"/>
    <n v="9260.68"/>
    <d v="2024-11-09T00:00:00"/>
    <s v="Retail"/>
    <x v="3"/>
    <n v="3098.28"/>
    <x v="0"/>
    <x v="0"/>
  </r>
  <r>
    <n v="2481"/>
    <x v="2"/>
    <x v="3"/>
    <s v="Premier III"/>
    <n v="7"/>
    <n v="1"/>
    <n v="9145.3700000000008"/>
    <n v="7.0000000000000007E-2"/>
    <n v="8505.19"/>
    <d v="2025-04-17T00:00:00"/>
    <s v="Online"/>
    <x v="1"/>
    <n v="1755.19"/>
    <x v="11"/>
    <x v="0"/>
  </r>
  <r>
    <n v="4008"/>
    <x v="1"/>
    <x v="4"/>
    <s v="LeBron 20"/>
    <n v="9"/>
    <n v="3"/>
    <n v="7737.27"/>
    <n v="7.0000000000000007E-2"/>
    <n v="21586.98"/>
    <d v="2023-12-15T00:00:00"/>
    <s v="Retail"/>
    <x v="6"/>
    <n v="180.31"/>
    <x v="8"/>
    <x v="0"/>
  </r>
  <r>
    <n v="2550"/>
    <x v="1"/>
    <x v="3"/>
    <s v="Premier III"/>
    <s v="XL"/>
    <n v="1"/>
    <n v="6121.21"/>
    <n v="0.05"/>
    <n v="5815.15"/>
    <d v="2023-09-08T00:00:00"/>
    <s v="Online"/>
    <x v="7"/>
    <n v="2470.08"/>
    <x v="4"/>
    <x v="0"/>
  </r>
  <r>
    <n v="3738"/>
    <x v="1"/>
    <x v="3"/>
    <s v="Premier III"/>
    <n v="11"/>
    <n v="1"/>
    <n v="6968.08"/>
    <n v="0.02"/>
    <n v="6828.72"/>
    <d v="2025-03-30T00:00:00"/>
    <s v="Online"/>
    <x v="3"/>
    <n v="-673.94"/>
    <x v="1"/>
    <x v="0"/>
  </r>
  <r>
    <n v="2047"/>
    <x v="2"/>
    <x v="0"/>
    <s v="SuperRep Go"/>
    <n v="10"/>
    <n v="1"/>
    <n v="8577.75"/>
    <m/>
    <n v="0"/>
    <d v="2024-06-13T00:00:00"/>
    <s v="Retail"/>
    <x v="5"/>
    <n v="2888.68"/>
    <x v="7"/>
    <x v="0"/>
  </r>
  <r>
    <n v="2064"/>
    <x v="0"/>
    <x v="1"/>
    <s v="React Infinity"/>
    <s v="L"/>
    <n v="2"/>
    <n v="7557.71"/>
    <m/>
    <n v="0"/>
    <d v="2025-03-02T00:00:00"/>
    <s v="Online"/>
    <x v="5"/>
    <n v="3277.44"/>
    <x v="1"/>
    <x v="0"/>
  </r>
  <r>
    <n v="2118"/>
    <x v="0"/>
    <x v="4"/>
    <s v="Zoom Freak"/>
    <s v="XL"/>
    <n v="2"/>
    <n v="8426.5400000000009"/>
    <m/>
    <n v="0"/>
    <d v="2023-09-21T00:00:00"/>
    <s v="Online"/>
    <x v="4"/>
    <n v="2696.85"/>
    <x v="4"/>
    <x v="0"/>
  </r>
  <r>
    <n v="2173"/>
    <x v="1"/>
    <x v="1"/>
    <s v="Free RN"/>
    <s v="L"/>
    <n v="-1"/>
    <n v="6620.78"/>
    <m/>
    <n v="0"/>
    <d v="2025-03-29T00:00:00"/>
    <s v="Online"/>
    <x v="5"/>
    <n v="3770.03"/>
    <x v="1"/>
    <x v="1"/>
  </r>
  <r>
    <n v="2246"/>
    <x v="0"/>
    <x v="4"/>
    <s v="LeBron 20"/>
    <s v="L"/>
    <n v="-1"/>
    <n v="7806.98"/>
    <m/>
    <n v="0"/>
    <d v="2024-10-02T00:00:00"/>
    <s v="Online"/>
    <x v="6"/>
    <n v="-943.35"/>
    <x v="6"/>
    <x v="1"/>
  </r>
  <r>
    <n v="2006"/>
    <x v="2"/>
    <x v="4"/>
    <s v="Zoom Freak"/>
    <s v="L"/>
    <n v="-1"/>
    <n v="8799.2199999999993"/>
    <m/>
    <n v="0"/>
    <d v="2023-08-13T00:00:00"/>
    <s v="Retail"/>
    <x v="5"/>
    <n v="-1109.57"/>
    <x v="2"/>
    <x v="1"/>
  </r>
  <r>
    <n v="2388"/>
    <x v="0"/>
    <x v="1"/>
    <s v="Air Zoom"/>
    <s v="L"/>
    <n v="1"/>
    <n v="5321.46"/>
    <m/>
    <n v="0"/>
    <d v="2024-09-02T00:00:00"/>
    <s v="Retail"/>
    <x v="5"/>
    <n v="2587.2600000000002"/>
    <x v="4"/>
    <x v="0"/>
  </r>
  <r>
    <n v="2415"/>
    <x v="2"/>
    <x v="1"/>
    <s v="Free RN"/>
    <n v="8"/>
    <n v="3"/>
    <n v="6178.39"/>
    <m/>
    <n v="0"/>
    <d v="2024-07-22T00:00:00"/>
    <s v="Retail"/>
    <x v="5"/>
    <n v="73.75"/>
    <x v="9"/>
    <x v="0"/>
  </r>
  <r>
    <n v="2439"/>
    <x v="1"/>
    <x v="2"/>
    <s v="Blazer Mid"/>
    <s v="L"/>
    <n v="-1"/>
    <n v="3239.59"/>
    <m/>
    <n v="0"/>
    <d v="2025-03-03T00:00:00"/>
    <s v="Retail"/>
    <x v="5"/>
    <n v="3467.1"/>
    <x v="1"/>
    <x v="1"/>
  </r>
  <r>
    <n v="2464"/>
    <x v="2"/>
    <x v="2"/>
    <s v="Blazer Mid"/>
    <s v="XL"/>
    <n v="3"/>
    <n v="2699.59"/>
    <m/>
    <n v="0"/>
    <d v="2024-06-30T00:00:00"/>
    <s v="Retail"/>
    <x v="6"/>
    <n v="3507.56"/>
    <x v="7"/>
    <x v="0"/>
  </r>
  <r>
    <n v="2537"/>
    <x v="2"/>
    <x v="2"/>
    <s v="Waffle One"/>
    <s v="M"/>
    <m/>
    <m/>
    <m/>
    <n v="0"/>
    <d v="2025-05-30T00:00:00"/>
    <s v="Retail"/>
    <x v="5"/>
    <n v="2596.8000000000002"/>
    <x v="10"/>
    <x v="0"/>
  </r>
  <r>
    <n v="2575"/>
    <x v="1"/>
    <x v="0"/>
    <s v="Metcon 7"/>
    <s v="XL"/>
    <n v="2"/>
    <n v="3582.67"/>
    <m/>
    <n v="0"/>
    <d v="2025-07-03T00:00:00"/>
    <s v="Online"/>
    <x v="4"/>
    <n v="1982.16"/>
    <x v="9"/>
    <x v="0"/>
  </r>
  <r>
    <n v="2640"/>
    <x v="0"/>
    <x v="0"/>
    <s v="ZoomX Invincible"/>
    <n v="9"/>
    <n v="2"/>
    <n v="7900.02"/>
    <m/>
    <n v="0"/>
    <d v="2024-08-02T00:00:00"/>
    <s v="Online"/>
    <x v="5"/>
    <n v="861.92"/>
    <x v="2"/>
    <x v="0"/>
  </r>
  <r>
    <n v="2732"/>
    <x v="2"/>
    <x v="0"/>
    <s v="SuperRep Go"/>
    <s v="M"/>
    <n v="0"/>
    <n v="3402.8"/>
    <m/>
    <n v="0"/>
    <d v="2025-03-01T00:00:00"/>
    <s v="Online"/>
    <x v="6"/>
    <n v="1045.5"/>
    <x v="1"/>
    <x v="0"/>
  </r>
  <r>
    <n v="2806"/>
    <x v="0"/>
    <x v="4"/>
    <s v="Kyrie Flytrap"/>
    <n v="7"/>
    <n v="3"/>
    <n v="4466.78"/>
    <m/>
    <n v="0"/>
    <d v="2024-02-10T00:00:00"/>
    <s v="Online"/>
    <x v="5"/>
    <n v="2407.08"/>
    <x v="3"/>
    <x v="0"/>
  </r>
  <r>
    <n v="2811"/>
    <x v="1"/>
    <x v="4"/>
    <s v="Zoom Freak"/>
    <n v="8"/>
    <n v="3"/>
    <n v="9153.02"/>
    <m/>
    <n v="0"/>
    <d v="2025-01-24T00:00:00"/>
    <s v="Retail"/>
    <x v="5"/>
    <n v="-77.61"/>
    <x v="5"/>
    <x v="0"/>
  </r>
  <r>
    <n v="2816"/>
    <x v="1"/>
    <x v="4"/>
    <s v="LeBron 20"/>
    <s v="M"/>
    <n v="3"/>
    <n v="5983.35"/>
    <m/>
    <n v="0"/>
    <d v="2025-01-22T00:00:00"/>
    <s v="Retail"/>
    <x v="6"/>
    <n v="916.13"/>
    <x v="5"/>
    <x v="0"/>
  </r>
  <r>
    <n v="2860"/>
    <x v="0"/>
    <x v="2"/>
    <s v="Air Force 1"/>
    <s v="XL"/>
    <n v="-1"/>
    <n v="7568.04"/>
    <m/>
    <n v="0"/>
    <d v="2025-04-07T00:00:00"/>
    <s v="Retail"/>
    <x v="4"/>
    <n v="1365.3"/>
    <x v="11"/>
    <x v="1"/>
  </r>
  <r>
    <n v="2871"/>
    <x v="1"/>
    <x v="0"/>
    <s v="Flex Trainer"/>
    <s v="M"/>
    <n v="1"/>
    <n v="2294.09"/>
    <m/>
    <n v="0"/>
    <d v="2025-07-22T00:00:00"/>
    <s v="Retail"/>
    <x v="5"/>
    <n v="1002.21"/>
    <x v="9"/>
    <x v="0"/>
  </r>
  <r>
    <n v="2875"/>
    <x v="2"/>
    <x v="2"/>
    <s v="Dunk Low"/>
    <s v="L"/>
    <n v="4"/>
    <n v="7401.53"/>
    <m/>
    <n v="0"/>
    <d v="2024-09-16T00:00:00"/>
    <s v="Retail"/>
    <x v="5"/>
    <n v="1559.28"/>
    <x v="4"/>
    <x v="0"/>
  </r>
  <r>
    <n v="3036"/>
    <x v="0"/>
    <x v="2"/>
    <s v="Dunk Low"/>
    <n v="11"/>
    <n v="2"/>
    <n v="2879.09"/>
    <m/>
    <n v="0"/>
    <d v="2024-10-15T00:00:00"/>
    <s v="Retail"/>
    <x v="4"/>
    <n v="1129.1099999999999"/>
    <x v="6"/>
    <x v="0"/>
  </r>
  <r>
    <n v="3137"/>
    <x v="0"/>
    <x v="3"/>
    <s v="Premier III"/>
    <m/>
    <m/>
    <n v="7176.21"/>
    <m/>
    <n v="0"/>
    <d v="2025-07-08T00:00:00"/>
    <s v="Online"/>
    <x v="5"/>
    <n v="659.4"/>
    <x v="9"/>
    <x v="0"/>
  </r>
  <r>
    <n v="3202"/>
    <x v="0"/>
    <x v="1"/>
    <s v="Pegasus Turbo"/>
    <n v="10"/>
    <m/>
    <n v="8926.14"/>
    <m/>
    <n v="0"/>
    <m/>
    <s v="Online"/>
    <x v="5"/>
    <n v="1565.51"/>
    <x v="5"/>
    <x v="0"/>
  </r>
  <r>
    <n v="3222"/>
    <x v="0"/>
    <x v="4"/>
    <s v="Air Jordan"/>
    <s v="XL"/>
    <n v="-1"/>
    <n v="5300.32"/>
    <m/>
    <n v="0"/>
    <d v="2024-10-08T00:00:00"/>
    <s v="Online"/>
    <x v="5"/>
    <n v="2593.48"/>
    <x v="6"/>
    <x v="1"/>
  </r>
  <r>
    <n v="3255"/>
    <x v="0"/>
    <x v="4"/>
    <s v="Air Jordan"/>
    <s v="XL"/>
    <n v="-1"/>
    <n v="6975.67"/>
    <m/>
    <n v="0"/>
    <d v="2025-03-02T00:00:00"/>
    <s v="Online"/>
    <x v="5"/>
    <n v="960.65"/>
    <x v="1"/>
    <x v="1"/>
  </r>
  <r>
    <n v="3265"/>
    <x v="2"/>
    <x v="3"/>
    <s v="Mercurial Superfly"/>
    <s v="M"/>
    <n v="4"/>
    <m/>
    <m/>
    <n v="0"/>
    <d v="2024-09-22T00:00:00"/>
    <s v="Retail"/>
    <x v="5"/>
    <n v="2860.71"/>
    <x v="4"/>
    <x v="0"/>
  </r>
  <r>
    <n v="3272"/>
    <x v="1"/>
    <x v="2"/>
    <s v="Blazer Mid"/>
    <n v="8"/>
    <m/>
    <m/>
    <m/>
    <n v="0"/>
    <m/>
    <s v="Retail"/>
    <x v="4"/>
    <n v="-321.24"/>
    <x v="5"/>
    <x v="0"/>
  </r>
  <r>
    <n v="3325"/>
    <x v="0"/>
    <x v="4"/>
    <s v="LeBron 20"/>
    <s v="L"/>
    <m/>
    <m/>
    <m/>
    <n v="0"/>
    <d v="2024-11-06T00:00:00"/>
    <s v="Online"/>
    <x v="6"/>
    <n v="1115.7"/>
    <x v="0"/>
    <x v="0"/>
  </r>
  <r>
    <n v="3341"/>
    <x v="0"/>
    <x v="0"/>
    <s v="Metcon 7"/>
    <n v="8"/>
    <n v="3"/>
    <n v="8387.99"/>
    <m/>
    <n v="0"/>
    <d v="2024-03-23T00:00:00"/>
    <s v="Online"/>
    <x v="5"/>
    <n v="1693.41"/>
    <x v="1"/>
    <x v="0"/>
  </r>
  <r>
    <n v="3343"/>
    <x v="0"/>
    <x v="4"/>
    <s v="Air Jordan"/>
    <s v="L"/>
    <n v="3"/>
    <n v="9405.77"/>
    <m/>
    <n v="0"/>
    <d v="2024-11-12T00:00:00"/>
    <s v="Retail"/>
    <x v="4"/>
    <n v="1688.78"/>
    <x v="0"/>
    <x v="0"/>
  </r>
  <r>
    <n v="3375"/>
    <x v="0"/>
    <x v="1"/>
    <s v="Free RN"/>
    <s v="M"/>
    <n v="0"/>
    <n v="2134.23"/>
    <m/>
    <n v="0"/>
    <d v="2024-11-22T00:00:00"/>
    <s v="Online"/>
    <x v="5"/>
    <n v="1647.39"/>
    <x v="0"/>
    <x v="0"/>
  </r>
  <r>
    <n v="3394"/>
    <x v="0"/>
    <x v="2"/>
    <s v="Dunk Low"/>
    <s v="XL"/>
    <n v="1"/>
    <m/>
    <m/>
    <n v="0"/>
    <d v="2024-11-03T00:00:00"/>
    <s v="Online"/>
    <x v="4"/>
    <n v="2396.11"/>
    <x v="0"/>
    <x v="0"/>
  </r>
  <r>
    <n v="3415"/>
    <x v="0"/>
    <x v="4"/>
    <s v="Air Jordan"/>
    <s v="L"/>
    <n v="-1"/>
    <n v="6165.08"/>
    <m/>
    <n v="0"/>
    <d v="2024-03-06T00:00:00"/>
    <s v="Online"/>
    <x v="6"/>
    <n v="-426.97"/>
    <x v="1"/>
    <x v="1"/>
  </r>
  <r>
    <n v="3540"/>
    <x v="0"/>
    <x v="0"/>
    <s v="Flex Trainer"/>
    <s v="XL"/>
    <n v="-1"/>
    <n v="9564.4"/>
    <m/>
    <n v="0"/>
    <d v="2025-05-16T00:00:00"/>
    <s v="Retail"/>
    <x v="3"/>
    <n v="1850.13"/>
    <x v="10"/>
    <x v="1"/>
  </r>
  <r>
    <n v="3541"/>
    <x v="0"/>
    <x v="0"/>
    <s v="SuperRep Go"/>
    <s v="M"/>
    <n v="-1"/>
    <n v="3644.5"/>
    <m/>
    <n v="0"/>
    <d v="2024-09-04T00:00:00"/>
    <s v="Online"/>
    <x v="2"/>
    <n v="2011.76"/>
    <x v="4"/>
    <x v="1"/>
  </r>
  <r>
    <n v="3553"/>
    <x v="2"/>
    <x v="1"/>
    <s v="Air Zoom"/>
    <s v="XL"/>
    <n v="2"/>
    <n v="5216.2700000000004"/>
    <m/>
    <n v="0"/>
    <d v="2025-06-25T00:00:00"/>
    <s v="Online"/>
    <x v="1"/>
    <n v="-720.87"/>
    <x v="7"/>
    <x v="0"/>
  </r>
  <r>
    <n v="3558"/>
    <x v="2"/>
    <x v="0"/>
    <s v="Flex Trainer"/>
    <s v="L"/>
    <n v="4"/>
    <n v="4045.21"/>
    <m/>
    <n v="0"/>
    <d v="2024-08-30T00:00:00"/>
    <s v="Online"/>
    <x v="2"/>
    <n v="-113.44"/>
    <x v="2"/>
    <x v="0"/>
  </r>
  <r>
    <n v="3576"/>
    <x v="2"/>
    <x v="2"/>
    <s v="Waffle One"/>
    <s v="M"/>
    <n v="2"/>
    <n v="3533.18"/>
    <m/>
    <n v="0"/>
    <d v="2024-03-17T00:00:00"/>
    <s v="Retail"/>
    <x v="0"/>
    <n v="-586.23"/>
    <x v="1"/>
    <x v="0"/>
  </r>
  <r>
    <n v="3579"/>
    <x v="1"/>
    <x v="4"/>
    <s v="LeBron 20"/>
    <s v="XL"/>
    <n v="0"/>
    <n v="9995.5499999999993"/>
    <m/>
    <n v="0"/>
    <d v="2025-02-03T00:00:00"/>
    <s v="Retail"/>
    <x v="3"/>
    <n v="1962.41"/>
    <x v="3"/>
    <x v="0"/>
  </r>
  <r>
    <n v="3605"/>
    <x v="1"/>
    <x v="3"/>
    <s v="Phantom GT"/>
    <s v="M"/>
    <n v="2"/>
    <n v="8837.76"/>
    <m/>
    <n v="0"/>
    <d v="2025-01-09T00:00:00"/>
    <s v="Online"/>
    <x v="6"/>
    <n v="1627.87"/>
    <x v="5"/>
    <x v="0"/>
  </r>
  <r>
    <n v="3620"/>
    <x v="1"/>
    <x v="1"/>
    <s v="React Infinity"/>
    <n v="11"/>
    <n v="0"/>
    <n v="8561.18"/>
    <m/>
    <n v="0"/>
    <d v="2024-11-02T00:00:00"/>
    <s v="Retail"/>
    <x v="5"/>
    <n v="1538.46"/>
    <x v="0"/>
    <x v="0"/>
  </r>
  <r>
    <n v="3622"/>
    <x v="2"/>
    <x v="3"/>
    <s v="Premier III"/>
    <n v="8"/>
    <n v="3"/>
    <n v="2187.91"/>
    <m/>
    <n v="0"/>
    <d v="2024-09-22T00:00:00"/>
    <s v="Online"/>
    <x v="4"/>
    <n v="1951.56"/>
    <x v="4"/>
    <x v="0"/>
  </r>
  <r>
    <n v="3652"/>
    <x v="0"/>
    <x v="4"/>
    <s v="Air Jordan"/>
    <s v="XL"/>
    <n v="0"/>
    <n v="3176.7"/>
    <m/>
    <n v="0"/>
    <d v="2023-11-21T00:00:00"/>
    <s v="Online"/>
    <x v="4"/>
    <n v="3349.8"/>
    <x v="0"/>
    <x v="0"/>
  </r>
  <r>
    <n v="3687"/>
    <x v="2"/>
    <x v="0"/>
    <s v="ZoomX Invincible"/>
    <s v="XL"/>
    <n v="-1"/>
    <n v="6216.27"/>
    <m/>
    <n v="0"/>
    <d v="2024-10-23T00:00:00"/>
    <s v="Retail"/>
    <x v="2"/>
    <n v="2418.27"/>
    <x v="6"/>
    <x v="1"/>
  </r>
  <r>
    <n v="3688"/>
    <x v="0"/>
    <x v="1"/>
    <s v="React Infinity"/>
    <s v="L"/>
    <n v="1"/>
    <n v="5048.9799999999996"/>
    <m/>
    <n v="0"/>
    <d v="2025-04-17T00:00:00"/>
    <s v="Retail"/>
    <x v="7"/>
    <n v="1214.8599999999999"/>
    <x v="11"/>
    <x v="0"/>
  </r>
  <r>
    <n v="3706"/>
    <x v="1"/>
    <x v="1"/>
    <s v="Pegasus Turbo"/>
    <s v="M"/>
    <n v="1"/>
    <n v="9437.73"/>
    <m/>
    <n v="0"/>
    <d v="2025-03-09T00:00:00"/>
    <s v="Retail"/>
    <x v="4"/>
    <n v="3271.38"/>
    <x v="1"/>
    <x v="0"/>
  </r>
  <r>
    <n v="3789"/>
    <x v="2"/>
    <x v="2"/>
    <s v="Air Force 1"/>
    <s v="XL"/>
    <n v="2"/>
    <n v="2738.79"/>
    <m/>
    <n v="0"/>
    <d v="2024-08-11T00:00:00"/>
    <s v="Retail"/>
    <x v="4"/>
    <n v="863.29"/>
    <x v="2"/>
    <x v="0"/>
  </r>
  <r>
    <n v="3811"/>
    <x v="2"/>
    <x v="1"/>
    <s v="React Infinity"/>
    <s v="XL"/>
    <n v="0"/>
    <n v="5706.6"/>
    <m/>
    <n v="0"/>
    <d v="2024-09-28T00:00:00"/>
    <s v="Online"/>
    <x v="0"/>
    <n v="1397.86"/>
    <x v="4"/>
    <x v="0"/>
  </r>
  <r>
    <n v="3812"/>
    <x v="0"/>
    <x v="0"/>
    <s v="ZoomX Invincible"/>
    <s v="L"/>
    <n v="0"/>
    <n v="9321.19"/>
    <m/>
    <n v="0"/>
    <d v="2024-11-01T00:00:00"/>
    <s v="Online"/>
    <x v="7"/>
    <n v="818.49"/>
    <x v="0"/>
    <x v="0"/>
  </r>
  <r>
    <n v="3814"/>
    <x v="0"/>
    <x v="2"/>
    <s v="Dunk Low"/>
    <s v="M"/>
    <n v="-1"/>
    <n v="9668.4699999999993"/>
    <m/>
    <n v="0"/>
    <d v="2024-12-25T00:00:00"/>
    <s v="Retail"/>
    <x v="7"/>
    <n v="3718.8"/>
    <x v="8"/>
    <x v="1"/>
  </r>
  <r>
    <n v="3819"/>
    <x v="0"/>
    <x v="4"/>
    <s v="Zoom Freak"/>
    <s v="M"/>
    <n v="3"/>
    <n v="7171.03"/>
    <m/>
    <n v="0"/>
    <d v="2025-05-27T00:00:00"/>
    <s v="Retail"/>
    <x v="7"/>
    <n v="2723"/>
    <x v="10"/>
    <x v="0"/>
  </r>
  <r>
    <n v="3821"/>
    <x v="2"/>
    <x v="2"/>
    <s v="Air Force 1"/>
    <s v="L"/>
    <n v="-1"/>
    <n v="7539.55"/>
    <m/>
    <n v="0"/>
    <d v="2024-10-19T00:00:00"/>
    <s v="Retail"/>
    <x v="7"/>
    <n v="-17.8"/>
    <x v="6"/>
    <x v="1"/>
  </r>
  <r>
    <n v="3830"/>
    <x v="0"/>
    <x v="3"/>
    <s v="Phantom GT"/>
    <s v="L"/>
    <n v="2"/>
    <n v="3664.1"/>
    <m/>
    <n v="0"/>
    <d v="2024-09-04T00:00:00"/>
    <s v="Retail"/>
    <x v="6"/>
    <n v="3188.23"/>
    <x v="4"/>
    <x v="0"/>
  </r>
  <r>
    <n v="3831"/>
    <x v="1"/>
    <x v="1"/>
    <s v="Air Zoom"/>
    <s v="L"/>
    <n v="0"/>
    <n v="3231.05"/>
    <m/>
    <n v="0"/>
    <d v="2025-04-26T00:00:00"/>
    <s v="Online"/>
    <x v="5"/>
    <n v="504.5"/>
    <x v="11"/>
    <x v="0"/>
  </r>
  <r>
    <n v="3876"/>
    <x v="1"/>
    <x v="3"/>
    <s v="Phantom GT"/>
    <s v="XL"/>
    <n v="-1"/>
    <n v="4310.8999999999996"/>
    <m/>
    <n v="0"/>
    <d v="2024-12-24T00:00:00"/>
    <s v="Retail"/>
    <x v="4"/>
    <n v="3835.88"/>
    <x v="8"/>
    <x v="1"/>
  </r>
  <r>
    <n v="3891"/>
    <x v="1"/>
    <x v="0"/>
    <s v="ZoomX Invincible"/>
    <s v="L"/>
    <n v="0"/>
    <n v="9453.17"/>
    <m/>
    <n v="0"/>
    <d v="2025-02-13T00:00:00"/>
    <s v="Retail"/>
    <x v="5"/>
    <n v="3832.99"/>
    <x v="3"/>
    <x v="0"/>
  </r>
  <r>
    <n v="3904"/>
    <x v="0"/>
    <x v="3"/>
    <s v="Phantom GT"/>
    <s v="L"/>
    <n v="2"/>
    <n v="7775.87"/>
    <m/>
    <n v="0"/>
    <d v="2025-05-28T00:00:00"/>
    <s v="Retail"/>
    <x v="5"/>
    <n v="1143.1099999999999"/>
    <x v="10"/>
    <x v="0"/>
  </r>
  <r>
    <n v="2041"/>
    <x v="0"/>
    <x v="3"/>
    <s v="Tiempo Legend"/>
    <s v="M"/>
    <n v="-1"/>
    <n v="4414.63"/>
    <m/>
    <n v="0"/>
    <d v="2025-02-27T00:00:00"/>
    <s v="Online"/>
    <x v="5"/>
    <n v="1709.18"/>
    <x v="3"/>
    <x v="1"/>
  </r>
  <r>
    <n v="3992"/>
    <x v="1"/>
    <x v="2"/>
    <s v="Dunk Low"/>
    <s v="XL"/>
    <n v="-1"/>
    <n v="4431.62"/>
    <m/>
    <n v="0"/>
    <d v="2025-01-13T00:00:00"/>
    <s v="Online"/>
    <x v="1"/>
    <n v="-907.76"/>
    <x v="5"/>
    <x v="1"/>
  </r>
  <r>
    <n v="3997"/>
    <x v="2"/>
    <x v="2"/>
    <s v="Waffle One"/>
    <s v="M"/>
    <n v="4"/>
    <m/>
    <m/>
    <n v="0"/>
    <d v="2024-01-24T00:00:00"/>
    <s v="Retail"/>
    <x v="6"/>
    <n v="-484.62"/>
    <x v="5"/>
    <x v="0"/>
  </r>
  <r>
    <n v="4011"/>
    <x v="2"/>
    <x v="1"/>
    <s v="Air Zoom"/>
    <s v="M"/>
    <n v="4"/>
    <n v="4909.5600000000004"/>
    <m/>
    <n v="0"/>
    <d v="2025-07-04T00:00:00"/>
    <s v="Retail"/>
    <x v="5"/>
    <n v="2934.53"/>
    <x v="9"/>
    <x v="0"/>
  </r>
  <r>
    <n v="4013"/>
    <x v="2"/>
    <x v="4"/>
    <s v="LeBron 20"/>
    <n v="10"/>
    <n v="2"/>
    <n v="3794.99"/>
    <m/>
    <n v="0"/>
    <d v="2025-07-04T00:00:00"/>
    <s v="Online"/>
    <x v="4"/>
    <n v="1398.9"/>
    <x v="9"/>
    <x v="0"/>
  </r>
  <r>
    <n v="4052"/>
    <x v="0"/>
    <x v="0"/>
    <s v="Flex Trainer"/>
    <s v="L"/>
    <m/>
    <n v="6952.66"/>
    <m/>
    <n v="0"/>
    <d v="2025-01-19T00:00:00"/>
    <s v="Online"/>
    <x v="4"/>
    <n v="1624.3"/>
    <x v="5"/>
    <x v="0"/>
  </r>
  <r>
    <n v="4133"/>
    <x v="1"/>
    <x v="4"/>
    <s v="Air Jordan"/>
    <s v="L"/>
    <n v="3"/>
    <n v="4105.0600000000004"/>
    <m/>
    <n v="0"/>
    <d v="2024-11-09T00:00:00"/>
    <s v="Online"/>
    <x v="2"/>
    <n v="1015.38"/>
    <x v="0"/>
    <x v="0"/>
  </r>
  <r>
    <n v="4147"/>
    <x v="1"/>
    <x v="4"/>
    <s v="Zoom Freak"/>
    <s v="L"/>
    <n v="1"/>
    <n v="7659.09"/>
    <m/>
    <n v="0"/>
    <d v="2024-11-26T00:00:00"/>
    <s v="Online"/>
    <x v="3"/>
    <n v="106.35"/>
    <x v="0"/>
    <x v="0"/>
  </r>
  <r>
    <n v="4148"/>
    <x v="0"/>
    <x v="3"/>
    <s v="Phantom GT"/>
    <n v="7"/>
    <n v="3"/>
    <n v="5943.25"/>
    <m/>
    <n v="0"/>
    <d v="2025-07-18T00:00:00"/>
    <s v="Retail"/>
    <x v="1"/>
    <n v="-900.4"/>
    <x v="9"/>
    <x v="0"/>
  </r>
  <r>
    <n v="4149"/>
    <x v="2"/>
    <x v="0"/>
    <s v="SuperRep Go"/>
    <n v="10"/>
    <n v="4"/>
    <n v="5716.52"/>
    <m/>
    <n v="0"/>
    <d v="2024-09-14T00:00:00"/>
    <s v="Retail"/>
    <x v="1"/>
    <n v="274.76"/>
    <x v="4"/>
    <x v="0"/>
  </r>
  <r>
    <n v="4164"/>
    <x v="1"/>
    <x v="3"/>
    <s v="Tiempo Legend"/>
    <s v="XL"/>
    <n v="0"/>
    <n v="2196.67"/>
    <m/>
    <n v="0"/>
    <d v="2025-07-21T00:00:00"/>
    <s v="Online"/>
    <x v="5"/>
    <n v="-1088.9000000000001"/>
    <x v="9"/>
    <x v="0"/>
  </r>
  <r>
    <n v="4176"/>
    <x v="2"/>
    <x v="0"/>
    <s v="ZoomX Invincible"/>
    <s v="M"/>
    <n v="1"/>
    <m/>
    <m/>
    <n v="0"/>
    <d v="2023-09-02T00:00:00"/>
    <s v="Retail"/>
    <x v="6"/>
    <n v="2254.67"/>
    <x v="4"/>
    <x v="0"/>
  </r>
  <r>
    <n v="4202"/>
    <x v="1"/>
    <x v="0"/>
    <s v="SuperRep Go"/>
    <s v="L"/>
    <n v="4"/>
    <n v="4996.25"/>
    <m/>
    <n v="0"/>
    <d v="2025-05-16T00:00:00"/>
    <s v="Online"/>
    <x v="1"/>
    <n v="299.85000000000002"/>
    <x v="10"/>
    <x v="0"/>
  </r>
  <r>
    <n v="4215"/>
    <x v="1"/>
    <x v="0"/>
    <s v="Flex Trainer"/>
    <s v="XL"/>
    <n v="3"/>
    <n v="7213.51"/>
    <m/>
    <n v="0"/>
    <d v="2025-07-13T00:00:00"/>
    <s v="Online"/>
    <x v="7"/>
    <n v="960.82"/>
    <x v="9"/>
    <x v="0"/>
  </r>
  <r>
    <n v="4216"/>
    <x v="0"/>
    <x v="2"/>
    <s v="Waffle One"/>
    <s v="M"/>
    <n v="-1"/>
    <n v="4989.1499999999996"/>
    <m/>
    <n v="0"/>
    <d v="2025-02-23T00:00:00"/>
    <s v="Online"/>
    <x v="3"/>
    <n v="3445.94"/>
    <x v="3"/>
    <x v="1"/>
  </r>
  <r>
    <n v="4238"/>
    <x v="1"/>
    <x v="3"/>
    <s v="Phantom GT"/>
    <s v="XL"/>
    <n v="2"/>
    <n v="6489.35"/>
    <m/>
    <n v="0"/>
    <d v="2024-12-14T00:00:00"/>
    <s v="Online"/>
    <x v="6"/>
    <n v="-321.44"/>
    <x v="8"/>
    <x v="0"/>
  </r>
  <r>
    <n v="4258"/>
    <x v="0"/>
    <x v="2"/>
    <s v="Dunk Low"/>
    <s v="L"/>
    <n v="-1"/>
    <n v="4189.3599999999997"/>
    <m/>
    <n v="0"/>
    <d v="2024-06-10T00:00:00"/>
    <s v="Retail"/>
    <x v="1"/>
    <n v="1276.3399999999999"/>
    <x v="7"/>
    <x v="1"/>
  </r>
  <r>
    <n v="4264"/>
    <x v="0"/>
    <x v="2"/>
    <s v="Air Force 1"/>
    <s v="M"/>
    <n v="-1"/>
    <n v="6012.55"/>
    <m/>
    <n v="0"/>
    <d v="2024-01-11T00:00:00"/>
    <s v="Online"/>
    <x v="3"/>
    <n v="783.79"/>
    <x v="5"/>
    <x v="1"/>
  </r>
  <r>
    <n v="4273"/>
    <x v="0"/>
    <x v="3"/>
    <s v="Phantom GT"/>
    <n v="7"/>
    <n v="3"/>
    <n v="3407.16"/>
    <m/>
    <n v="0"/>
    <d v="2025-01-20T00:00:00"/>
    <s v="Retail"/>
    <x v="2"/>
    <n v="1161.05"/>
    <x v="5"/>
    <x v="0"/>
  </r>
  <r>
    <n v="4295"/>
    <x v="2"/>
    <x v="4"/>
    <s v="Air Jordan"/>
    <n v="10"/>
    <n v="4"/>
    <n v="4469.12"/>
    <m/>
    <n v="0"/>
    <d v="2025-03-15T00:00:00"/>
    <s v="Retail"/>
    <x v="2"/>
    <n v="-1033.4100000000001"/>
    <x v="1"/>
    <x v="0"/>
  </r>
  <r>
    <n v="4304"/>
    <x v="0"/>
    <x v="4"/>
    <s v="Kyrie Flytrap"/>
    <s v="L"/>
    <m/>
    <n v="4877.24"/>
    <m/>
    <n v="0"/>
    <d v="2024-07-07T00:00:00"/>
    <s v="Retail"/>
    <x v="4"/>
    <n v="2692.2"/>
    <x v="9"/>
    <x v="0"/>
  </r>
  <r>
    <n v="4340"/>
    <x v="2"/>
    <x v="0"/>
    <s v="ZoomX Invincible"/>
    <n v="6"/>
    <m/>
    <n v="3051.51"/>
    <m/>
    <n v="0"/>
    <m/>
    <s v="Retail"/>
    <x v="5"/>
    <n v="728.33"/>
    <x v="5"/>
    <x v="0"/>
  </r>
  <r>
    <n v="4353"/>
    <x v="1"/>
    <x v="3"/>
    <s v="Premier III"/>
    <s v="M"/>
    <n v="-1"/>
    <m/>
    <m/>
    <n v="0"/>
    <m/>
    <s v="Retail"/>
    <x v="5"/>
    <n v="1665.83"/>
    <x v="5"/>
    <x v="1"/>
  </r>
  <r>
    <n v="4434"/>
    <x v="1"/>
    <x v="4"/>
    <s v="Zoom Freak"/>
    <s v="L"/>
    <n v="3"/>
    <n v="3844.82"/>
    <m/>
    <n v="0"/>
    <d v="2025-02-09T00:00:00"/>
    <s v="Online"/>
    <x v="4"/>
    <n v="-289.83"/>
    <x v="3"/>
    <x v="0"/>
  </r>
  <r>
    <n v="4449"/>
    <x v="1"/>
    <x v="2"/>
    <s v="Air Force 1"/>
    <n v="9"/>
    <n v="0"/>
    <n v="5053.29"/>
    <m/>
    <n v="0"/>
    <d v="2025-02-24T00:00:00"/>
    <s v="Retail"/>
    <x v="7"/>
    <n v="3206.34"/>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3EDBA-8D11-445D-95D7-D487D83D03ED}"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0" firstHeaderRow="1" firstDataRow="1" firstDataCol="1"/>
  <pivotFields count="15">
    <pivotField showAll="0"/>
    <pivotField showAll="0">
      <items count="4">
        <item x="0"/>
        <item x="1"/>
        <item x="2"/>
        <item t="default"/>
      </items>
    </pivotField>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10">
        <item h="1" x="5"/>
        <item x="0"/>
        <item x="3"/>
        <item x="8"/>
        <item h="1" x="6"/>
        <item h="1" x="4"/>
        <item x="7"/>
        <item x="2"/>
        <item x="1"/>
        <item t="default"/>
      </items>
    </pivotField>
    <pivotField showAll="0"/>
    <pivotField showAll="0"/>
    <pivotField showAll="0"/>
  </pivotFields>
  <rowFields count="1">
    <field x="2"/>
  </rowFields>
  <rowItems count="6">
    <i>
      <x v="3"/>
    </i>
    <i>
      <x v="4"/>
    </i>
    <i>
      <x v="1"/>
    </i>
    <i>
      <x/>
    </i>
    <i>
      <x v="2"/>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61DB8-9E9B-45B7-BE5C-D2D6EFAB5172}"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5:I21" firstHeaderRow="1" firstDataRow="1" firstDataCol="1"/>
  <pivotFields count="15">
    <pivotField showAll="0"/>
    <pivotField showAll="0">
      <items count="4">
        <item x="0"/>
        <item x="1"/>
        <item x="2"/>
        <item t="default"/>
      </items>
    </pivotField>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10">
        <item h="1" x="5"/>
        <item x="0"/>
        <item x="3"/>
        <item x="8"/>
        <item h="1" x="6"/>
        <item h="1" x="4"/>
        <item x="7"/>
        <item x="2"/>
        <item x="1"/>
        <item t="default"/>
      </items>
    </pivotField>
    <pivotField showAll="0"/>
    <pivotField showAll="0"/>
    <pivotField showAll="0"/>
  </pivotFields>
  <rowFields count="1">
    <field x="2"/>
  </rowFields>
  <rowItems count="6">
    <i>
      <x v="4"/>
    </i>
    <i>
      <x v="3"/>
    </i>
    <i>
      <x/>
    </i>
    <i>
      <x v="1"/>
    </i>
    <i>
      <x v="2"/>
    </i>
    <i t="grand">
      <x/>
    </i>
  </rowItems>
  <colItems count="1">
    <i/>
  </colItems>
  <dataFields count="1">
    <dataField name="Sum of Units_Sold" fld="5" baseField="0" baseItem="0"/>
  </dataField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FDCCB-151C-4633-B26A-599978998EA5}"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4:L10" firstHeaderRow="1" firstDataRow="1" firstDataCol="1"/>
  <pivotFields count="15">
    <pivotField showAll="0"/>
    <pivotField showAll="0">
      <items count="4">
        <item x="0"/>
        <item x="1"/>
        <item x="2"/>
        <item t="default"/>
      </items>
    </pivotField>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0">
        <item h="1" x="5"/>
        <item x="0"/>
        <item x="3"/>
        <item x="8"/>
        <item h="1" x="6"/>
        <item h="1" x="4"/>
        <item x="7"/>
        <item x="2"/>
        <item x="1"/>
        <item t="default"/>
      </items>
    </pivotField>
    <pivotField dataField="1" showAll="0"/>
    <pivotField showAll="0"/>
    <pivotField showAll="0"/>
  </pivotFields>
  <rowFields count="1">
    <field x="2"/>
  </rowFields>
  <rowItems count="6">
    <i>
      <x v="3"/>
    </i>
    <i>
      <x/>
    </i>
    <i>
      <x v="1"/>
    </i>
    <i>
      <x v="4"/>
    </i>
    <i>
      <x v="2"/>
    </i>
    <i t="grand">
      <x/>
    </i>
  </rowItems>
  <colItems count="1">
    <i/>
  </colItems>
  <dataFields count="1">
    <dataField name="Sum of Profit" fld="12"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3"/>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4"/>
          </reference>
        </references>
      </pivotArea>
    </chartFormat>
    <chartFormat chart="9"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A5479A-EA8A-439F-83B7-F2D887D708CD}" name="PivotTable12"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H6:I11" firstHeaderRow="1" firstDataRow="1" firstDataCol="1" rowPageCount="1" colPageCount="1"/>
  <pivotFields count="15">
    <pivotField showAll="0"/>
    <pivotField showAll="0">
      <items count="4">
        <item x="0"/>
        <item x="1"/>
        <item x="2"/>
        <item t="default"/>
      </items>
    </pivotField>
    <pivotField axis="axisRow" showAll="0">
      <items count="6">
        <item x="4"/>
        <item x="2"/>
        <item x="1"/>
        <item x="3"/>
        <item x="0"/>
        <item t="default"/>
      </items>
    </pivotField>
    <pivotField showAll="0"/>
    <pivotField showAll="0"/>
    <pivotField showAll="0"/>
    <pivotField showAll="0"/>
    <pivotField showAll="0"/>
    <pivotField showAll="0"/>
    <pivotField showAll="0"/>
    <pivotField showAll="0"/>
    <pivotField showAll="0">
      <items count="10">
        <item h="1" x="5"/>
        <item x="0"/>
        <item x="3"/>
        <item x="8"/>
        <item h="1" x="6"/>
        <item h="1" x="4"/>
        <item x="7"/>
        <item x="2"/>
        <item x="1"/>
        <item t="default"/>
      </items>
    </pivotField>
    <pivotField showAll="0"/>
    <pivotField showAll="0"/>
    <pivotField axis="axisPage" dataField="1" showAll="0">
      <items count="3">
        <item x="1"/>
        <item x="0"/>
        <item t="default"/>
      </items>
    </pivotField>
  </pivotFields>
  <rowFields count="1">
    <field x="2"/>
  </rowFields>
  <rowItems count="5">
    <i>
      <x v="1"/>
    </i>
    <i>
      <x v="2"/>
    </i>
    <i>
      <x v="3"/>
    </i>
    <i>
      <x v="4"/>
    </i>
    <i t="grand">
      <x/>
    </i>
  </rowItems>
  <colItems count="1">
    <i/>
  </colItems>
  <pageFields count="1">
    <pageField fld="14" item="0" hier="-1"/>
  </pageFields>
  <dataFields count="1">
    <dataField name="Count of Return_Status" fld="14"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2F634-8F2A-4842-B440-C56098CE2D12}"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K13:L26" firstHeaderRow="1" firstDataRow="1" firstDataCol="1"/>
  <pivotFields count="15">
    <pivotField showAll="0"/>
    <pivotField showAll="0">
      <items count="4">
        <item x="0"/>
        <item x="1"/>
        <item x="2"/>
        <item t="default"/>
      </items>
    </pivotField>
    <pivotField showAll="0">
      <items count="6">
        <item x="4"/>
        <item x="2"/>
        <item x="1"/>
        <item x="3"/>
        <item x="0"/>
        <item t="default"/>
      </items>
    </pivotField>
    <pivotField showAll="0"/>
    <pivotField showAll="0"/>
    <pivotField showAll="0"/>
    <pivotField showAll="0"/>
    <pivotField showAll="0"/>
    <pivotField dataField="1" showAll="0"/>
    <pivotField showAll="0"/>
    <pivotField showAll="0"/>
    <pivotField showAll="0">
      <items count="10">
        <item h="1" x="5"/>
        <item x="0"/>
        <item x="3"/>
        <item x="8"/>
        <item h="1" x="6"/>
        <item h="1" x="4"/>
        <item x="7"/>
        <item x="2"/>
        <item x="1"/>
        <item t="default"/>
      </items>
    </pivotField>
    <pivotField showAll="0"/>
    <pivotField axis="axisRow" showAll="0" sortType="descending">
      <items count="13">
        <item x="5"/>
        <item x="3"/>
        <item x="1"/>
        <item x="11"/>
        <item x="10"/>
        <item x="7"/>
        <item x="9"/>
        <item x="2"/>
        <item x="4"/>
        <item x="6"/>
        <item x="0"/>
        <item x="8"/>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13">
    <i>
      <x/>
    </i>
    <i>
      <x v="3"/>
    </i>
    <i>
      <x v="10"/>
    </i>
    <i>
      <x v="8"/>
    </i>
    <i>
      <x v="11"/>
    </i>
    <i>
      <x v="4"/>
    </i>
    <i>
      <x v="2"/>
    </i>
    <i>
      <x v="7"/>
    </i>
    <i>
      <x v="9"/>
    </i>
    <i>
      <x v="6"/>
    </i>
    <i>
      <x v="5"/>
    </i>
    <i>
      <x v="1"/>
    </i>
    <i t="grand">
      <x/>
    </i>
  </rowItems>
  <colItems count="1">
    <i/>
  </colItems>
  <dataFields count="1">
    <dataField name="Sum of Revenue" fld="8"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3E0DC3-276A-4825-A489-4C72A944BDDD}"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F21" firstHeaderRow="1" firstDataRow="1" firstDataCol="1"/>
  <pivotFields count="15">
    <pivotField showAll="0"/>
    <pivotField showAll="0">
      <items count="4">
        <item x="0"/>
        <item x="1"/>
        <item x="2"/>
        <item t="default"/>
      </items>
    </pivotField>
    <pivotField showAll="0">
      <items count="6">
        <item x="4"/>
        <item x="2"/>
        <item x="1"/>
        <item x="3"/>
        <item x="0"/>
        <item t="default"/>
      </items>
    </pivotField>
    <pivotField showAll="0"/>
    <pivotField showAll="0"/>
    <pivotField showAll="0"/>
    <pivotField showAll="0"/>
    <pivotField showAll="0"/>
    <pivotField dataField="1" showAll="0"/>
    <pivotField showAll="0"/>
    <pivotField showAll="0"/>
    <pivotField axis="axisRow" showAll="0" sortType="descending">
      <items count="10">
        <item h="1" x="5"/>
        <item x="0"/>
        <item x="3"/>
        <item x="8"/>
        <item h="1" x="6"/>
        <item h="1" x="4"/>
        <item x="7"/>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1"/>
  </rowFields>
  <rowItems count="7">
    <i>
      <x v="6"/>
    </i>
    <i>
      <x v="8"/>
    </i>
    <i>
      <x v="7"/>
    </i>
    <i>
      <x v="2"/>
    </i>
    <i>
      <x v="1"/>
    </i>
    <i>
      <x v="3"/>
    </i>
    <i t="grand">
      <x/>
    </i>
  </rowItems>
  <colItems count="1">
    <i/>
  </colItems>
  <dataFields count="1">
    <dataField name="Sum of Revenu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F07B3B9-AF51-43CC-991F-63B29EFF086F}" sourceName="Product_Line">
  <pivotTables>
    <pivotTable tabId="13" name="PivotTable12"/>
    <pivotTable tabId="13" name="PivotTable10"/>
    <pivotTable tabId="13" name="PivotTable13"/>
    <pivotTable tabId="13" name="PivotTable14"/>
    <pivotTable tabId="13" name="PivotTable15"/>
    <pivotTable tabId="13" name="PivotTable9"/>
  </pivotTables>
  <data>
    <tabular pivotCacheId="861850396">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94E86A-F159-4C61-9E41-C69DECA2A97B}" sourceName="Region">
  <pivotTables>
    <pivotTable tabId="13" name="PivotTable12"/>
    <pivotTable tabId="13" name="PivotTable10"/>
    <pivotTable tabId="13" name="PivotTable13"/>
    <pivotTable tabId="13" name="PivotTable14"/>
    <pivotTable tabId="13" name="PivotTable15"/>
    <pivotTable tabId="13" name="PivotTable9"/>
  </pivotTables>
  <data>
    <tabular pivotCacheId="861850396">
      <items count="9">
        <i x="5"/>
        <i x="0" s="1"/>
        <i x="3" s="1"/>
        <i x="8" s="1"/>
        <i x="6"/>
        <i x="4"/>
        <i x="7"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A262EF97-2694-41F3-8E6C-D32062ABAC6D}" sourceName="Gender_Category">
  <pivotTables>
    <pivotTable tabId="13" name="PivotTable12"/>
    <pivotTable tabId="13" name="PivotTable10"/>
    <pivotTable tabId="13" name="PivotTable13"/>
    <pivotTable tabId="13" name="PivotTable14"/>
    <pivotTable tabId="13" name="PivotTable15"/>
    <pivotTable tabId="13" name="PivotTable9"/>
  </pivotTables>
  <data>
    <tabular pivotCacheId="8618503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xr10:uid="{167FF97C-777A-40B7-9459-869943884687}" cache="Slicer_Product_Line" caption="Product_Line" rowHeight="254576"/>
  <slicer name="Region" xr10:uid="{11DEB237-EAE4-4521-B24A-07666EED8D0A}" cache="Slicer_Region" caption="Region" rowHeight="254576"/>
  <slicer name="Gender_Category" xr10:uid="{6D83748E-1DF7-46BF-B036-8D3BDD77A9C5}" cache="Slicer_Gender_Category" caption="Gender_Category" rowHeight="25457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1" xr10:uid="{65A5669E-2114-434D-8AD9-6B670CE24FEE}" cache="Slicer_Product_Line" caption="Product_Line" rowHeight="254576"/>
  <slicer name="Region 1" xr10:uid="{C72BA011-570F-4C43-96CD-37D0659C1ACE}" cache="Slicer_Region" caption="Region" rowHeight="254576"/>
  <slicer name="Gender_Category 1" xr10:uid="{1F2C24BE-80FB-46F1-86EA-C4BB5E98EDBF}" cache="Slicer_Gender_Category" caption="Gender_Category" rowHeight="25457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D997C9-A7D6-4C43-805B-2A5A71E8BBA9}" name="Table3" displayName="Table3" ref="A1:O180" totalsRowShown="0">
  <autoFilter ref="A1:O180" xr:uid="{7BD997C9-A7D6-4C43-805B-2A5A71E8BBA9}">
    <filterColumn colId="11">
      <filters>
        <filter val="banglore"/>
        <filter val="Delhi"/>
        <filter val="hyderabad"/>
        <filter val="Kolkata"/>
        <filter val="Mumbai"/>
        <filter val="Pune"/>
      </filters>
    </filterColumn>
  </autoFilter>
  <sortState xmlns:xlrd2="http://schemas.microsoft.com/office/spreadsheetml/2017/richdata2" ref="A2:M180">
    <sortCondition descending="1" ref="H1:H180"/>
  </sortState>
  <tableColumns count="15">
    <tableColumn id="1" xr3:uid="{7CE30E23-DF5D-46A9-9D4A-46BDF19ECD9C}" name="Order_ID"/>
    <tableColumn id="2" xr3:uid="{17E9F926-8E21-4922-BF94-D10C3B46685B}" name="Gender_Category"/>
    <tableColumn id="3" xr3:uid="{B03120CA-F98A-4C9A-BAE0-603B64126AA5}" name="Product_Line"/>
    <tableColumn id="4" xr3:uid="{EB47AADF-A4B7-4B44-86BC-D63E43D7FC37}" name="Product_Name"/>
    <tableColumn id="5" xr3:uid="{8643BA74-2AD3-479D-8D8D-55F3319775CE}" name="Size" dataDxfId="3"/>
    <tableColumn id="6" xr3:uid="{EC9E0B95-324B-479C-BB0A-C4B01EE0AE0D}" name="Units_Sold"/>
    <tableColumn id="7" xr3:uid="{7A9FCA8B-5054-44AA-B44C-ED2D83A9A15B}" name="MRP"/>
    <tableColumn id="8" xr3:uid="{EB476A19-D789-4868-BFB2-E0FF6E5E9EB8}" name="Discount_Applied"/>
    <tableColumn id="9" xr3:uid="{530BE354-78C5-434D-8694-AFF3E16DAD77}" name="Revenue"/>
    <tableColumn id="10" xr3:uid="{EB415290-7AD8-4C51-BD95-BFE53A09790E}" name="Order_Date" dataDxfId="2"/>
    <tableColumn id="11" xr3:uid="{B4CE2D85-5134-4AB6-9115-BA2F65D76AE9}" name="Sales_Channel"/>
    <tableColumn id="12" xr3:uid="{8FEC07FE-00BE-4BB6-88F9-AF9A2E189AEF}" name="Region"/>
    <tableColumn id="13" xr3:uid="{935D9787-840C-49D4-884E-3AEC945D42A8}" name="Profit"/>
    <tableColumn id="14" xr3:uid="{3BF350FB-D983-4E72-9478-2A9FFF4DD892}" name="Month" dataDxfId="1">
      <calculatedColumnFormula>TEXT(J2,"mmm")</calculatedColumnFormula>
    </tableColumn>
    <tableColumn id="15" xr3:uid="{D00A6271-32A9-4E72-BBFB-82E2F9E5444B}" name="Return_Status" dataDxfId="0">
      <calculatedColumnFormula>IF(F2&lt;0,"Returned","Solid")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C8A4-BBB5-4AE2-B336-10F556098762}">
  <dimension ref="A1:O180"/>
  <sheetViews>
    <sheetView zoomScale="90" zoomScaleNormal="90" workbookViewId="0">
      <selection activeCell="F3" sqref="F3:G3 F165:G165 G223 F223:F224 J223:J224 E232 F229:F233 F235:G236 F238:F240 J237:J241 F255 J255 G253:G256 F258 F261 G261:G262 F271 G273:G274 F278 G279 J279 G287 F290 F295 F298:F300 J301 G318 G320:G322 J325 G339 F345 F349 G366:G367 G369 F375:F376 F384 J384 G389 J389:J390 G392 G395 G397:G398 G401:G402 F404:F405 J405 G409 G411 F411:F414 F417:F418 J417:J418 G420:G422 J422 F423:F424 G432:G433 F435 H100:H435 G436:H440 J440"/>
    </sheetView>
  </sheetViews>
  <sheetFormatPr defaultRowHeight="15.05" x14ac:dyDescent="0.3"/>
  <cols>
    <col min="1" max="1" width="10.21875" customWidth="1"/>
    <col min="2" max="2" width="17.109375" customWidth="1"/>
    <col min="3" max="3" width="13.6640625" customWidth="1"/>
    <col min="4" max="4" width="15.21875" customWidth="1"/>
    <col min="5" max="5" width="6.77734375" style="2" bestFit="1" customWidth="1"/>
    <col min="6" max="6" width="11.77734375" customWidth="1"/>
    <col min="8" max="8" width="17.5546875" customWidth="1"/>
    <col min="9" max="9" width="25.109375" customWidth="1"/>
    <col min="10" max="10" width="12.6640625" bestFit="1" customWidth="1"/>
    <col min="11" max="11" width="15" customWidth="1"/>
    <col min="12" max="12" width="14.33203125" bestFit="1" customWidth="1"/>
    <col min="13" max="13" width="8.88671875" customWidth="1"/>
    <col min="14" max="14" width="8.33203125" bestFit="1" customWidth="1"/>
    <col min="15" max="15" width="17.77734375" customWidth="1"/>
  </cols>
  <sheetData>
    <row r="1" spans="1:15" ht="14.4" x14ac:dyDescent="0.3">
      <c r="A1" t="s">
        <v>0</v>
      </c>
      <c r="B1" t="s">
        <v>1</v>
      </c>
      <c r="C1" t="s">
        <v>2</v>
      </c>
      <c r="D1" t="s">
        <v>3</v>
      </c>
      <c r="E1" s="2" t="s">
        <v>4</v>
      </c>
      <c r="F1" t="s">
        <v>5</v>
      </c>
      <c r="G1" t="s">
        <v>6</v>
      </c>
      <c r="H1" t="s">
        <v>7</v>
      </c>
      <c r="I1" t="s">
        <v>8</v>
      </c>
      <c r="J1" t="s">
        <v>9</v>
      </c>
      <c r="K1" t="s">
        <v>10</v>
      </c>
      <c r="L1" t="s">
        <v>11</v>
      </c>
      <c r="M1" t="s">
        <v>12</v>
      </c>
      <c r="N1" s="3" t="s">
        <v>55</v>
      </c>
      <c r="O1" t="s">
        <v>56</v>
      </c>
    </row>
    <row r="2" spans="1:15" ht="14.4" x14ac:dyDescent="0.3">
      <c r="A2">
        <v>4121</v>
      </c>
      <c r="B2" t="s">
        <v>13</v>
      </c>
      <c r="C2" t="s">
        <v>14</v>
      </c>
      <c r="D2" t="s">
        <v>45</v>
      </c>
      <c r="E2" s="2">
        <v>6</v>
      </c>
      <c r="F2">
        <v>0</v>
      </c>
      <c r="G2">
        <v>2763.46</v>
      </c>
      <c r="H2">
        <v>1</v>
      </c>
      <c r="I2">
        <f>H2*G2*(1-H2)</f>
        <v>0</v>
      </c>
      <c r="J2" s="1">
        <v>45603</v>
      </c>
      <c r="K2" t="s">
        <v>21</v>
      </c>
      <c r="L2" t="s">
        <v>54</v>
      </c>
      <c r="M2">
        <v>-399.33</v>
      </c>
      <c r="N2" t="str">
        <f t="shared" ref="N2:N64" si="0">TEXT(J2,"mmm")</f>
        <v>Nov</v>
      </c>
      <c r="O2" t="str">
        <f t="shared" ref="O2:O64" si="1">IF(F2&lt;0,"Returned","Solid")</f>
        <v>Solid</v>
      </c>
    </row>
    <row r="3" spans="1:15" ht="14.4" x14ac:dyDescent="0.3">
      <c r="A3">
        <v>2632</v>
      </c>
      <c r="B3" t="s">
        <v>33</v>
      </c>
      <c r="C3" t="s">
        <v>28</v>
      </c>
      <c r="D3" t="s">
        <v>47</v>
      </c>
      <c r="E3" s="2" t="s">
        <v>26</v>
      </c>
      <c r="F3">
        <v>-1</v>
      </c>
      <c r="G3">
        <v>7504.2</v>
      </c>
      <c r="H3">
        <v>0.99</v>
      </c>
      <c r="I3">
        <v>-75.040000000000006</v>
      </c>
      <c r="J3" s="1">
        <v>45361</v>
      </c>
      <c r="K3" t="s">
        <v>17</v>
      </c>
      <c r="L3" t="s">
        <v>27</v>
      </c>
      <c r="M3">
        <v>2413.42</v>
      </c>
      <c r="N3" t="str">
        <f t="shared" si="0"/>
        <v>Mar</v>
      </c>
      <c r="O3" t="str">
        <f t="shared" si="1"/>
        <v>Returned</v>
      </c>
    </row>
    <row r="4" spans="1:15" ht="14.4" x14ac:dyDescent="0.3">
      <c r="A4">
        <v>2912</v>
      </c>
      <c r="B4" t="s">
        <v>13</v>
      </c>
      <c r="C4" t="s">
        <v>28</v>
      </c>
      <c r="D4" t="s">
        <v>29</v>
      </c>
      <c r="E4" s="2" t="s">
        <v>30</v>
      </c>
      <c r="F4">
        <v>2</v>
      </c>
      <c r="G4">
        <v>9839.6299999999992</v>
      </c>
      <c r="H4">
        <v>0.98</v>
      </c>
      <c r="I4">
        <v>393.59</v>
      </c>
      <c r="J4" s="1">
        <v>45358</v>
      </c>
      <c r="K4" t="s">
        <v>17</v>
      </c>
      <c r="L4" t="s">
        <v>54</v>
      </c>
      <c r="M4">
        <v>1218.22</v>
      </c>
      <c r="N4" t="str">
        <f t="shared" si="0"/>
        <v>Mar</v>
      </c>
      <c r="O4" t="str">
        <f t="shared" si="1"/>
        <v>Solid</v>
      </c>
    </row>
    <row r="5" spans="1:15" ht="14.4" x14ac:dyDescent="0.3">
      <c r="A5">
        <v>3143</v>
      </c>
      <c r="B5" t="s">
        <v>33</v>
      </c>
      <c r="C5" t="s">
        <v>14</v>
      </c>
      <c r="D5" t="s">
        <v>32</v>
      </c>
      <c r="E5" s="2">
        <v>7</v>
      </c>
      <c r="F5">
        <v>3</v>
      </c>
      <c r="G5">
        <v>3938.59</v>
      </c>
      <c r="H5">
        <v>0.98</v>
      </c>
      <c r="I5">
        <v>236.32</v>
      </c>
      <c r="J5" s="1">
        <v>45527</v>
      </c>
      <c r="K5" t="s">
        <v>17</v>
      </c>
      <c r="L5" t="s">
        <v>23</v>
      </c>
      <c r="M5">
        <v>635.39</v>
      </c>
      <c r="N5" t="str">
        <f t="shared" si="0"/>
        <v>Aug</v>
      </c>
      <c r="O5" t="str">
        <f t="shared" si="1"/>
        <v>Solid</v>
      </c>
    </row>
    <row r="6" spans="1:15" ht="14.4" x14ac:dyDescent="0.3">
      <c r="A6">
        <v>4283</v>
      </c>
      <c r="B6" t="s">
        <v>33</v>
      </c>
      <c r="C6" t="s">
        <v>14</v>
      </c>
      <c r="D6" t="s">
        <v>45</v>
      </c>
      <c r="E6" s="2" t="s">
        <v>16</v>
      </c>
      <c r="F6">
        <v>1</v>
      </c>
      <c r="G6">
        <v>9649.36</v>
      </c>
      <c r="H6">
        <v>0.95</v>
      </c>
      <c r="I6">
        <v>482.47</v>
      </c>
      <c r="J6" s="1">
        <v>45714</v>
      </c>
      <c r="K6" t="s">
        <v>21</v>
      </c>
      <c r="L6" t="s">
        <v>54</v>
      </c>
      <c r="M6">
        <v>1158.69</v>
      </c>
      <c r="N6" t="str">
        <f t="shared" si="0"/>
        <v>Feb</v>
      </c>
      <c r="O6" t="str">
        <f t="shared" si="1"/>
        <v>Solid</v>
      </c>
    </row>
    <row r="7" spans="1:15" ht="14.4" x14ac:dyDescent="0.3">
      <c r="A7">
        <v>2048</v>
      </c>
      <c r="B7" t="s">
        <v>33</v>
      </c>
      <c r="C7" t="s">
        <v>24</v>
      </c>
      <c r="D7" t="s">
        <v>36</v>
      </c>
      <c r="E7" s="2" t="s">
        <v>16</v>
      </c>
      <c r="F7">
        <v>3</v>
      </c>
      <c r="G7">
        <v>6216.29</v>
      </c>
      <c r="H7">
        <v>0.94</v>
      </c>
      <c r="I7">
        <v>1118.93</v>
      </c>
      <c r="J7" s="1">
        <v>45549</v>
      </c>
      <c r="K7" t="s">
        <v>17</v>
      </c>
      <c r="L7" t="s">
        <v>23</v>
      </c>
      <c r="M7">
        <v>-642.02</v>
      </c>
      <c r="N7" t="str">
        <f t="shared" si="0"/>
        <v>Sep</v>
      </c>
      <c r="O7" t="str">
        <f t="shared" si="1"/>
        <v>Solid</v>
      </c>
    </row>
    <row r="8" spans="1:15" ht="14.4" x14ac:dyDescent="0.3">
      <c r="A8">
        <v>2886</v>
      </c>
      <c r="B8" t="s">
        <v>13</v>
      </c>
      <c r="C8" t="s">
        <v>28</v>
      </c>
      <c r="D8" t="s">
        <v>42</v>
      </c>
      <c r="E8" s="2" t="s">
        <v>30</v>
      </c>
      <c r="F8">
        <v>0</v>
      </c>
      <c r="G8">
        <v>8164.32</v>
      </c>
      <c r="H8">
        <v>0.94</v>
      </c>
      <c r="I8">
        <v>0</v>
      </c>
      <c r="J8" s="1">
        <v>45523</v>
      </c>
      <c r="K8" t="s">
        <v>21</v>
      </c>
      <c r="L8" t="s">
        <v>27</v>
      </c>
      <c r="M8">
        <v>286.3</v>
      </c>
      <c r="N8" t="str">
        <f t="shared" si="0"/>
        <v>Aug</v>
      </c>
      <c r="O8" t="str">
        <f t="shared" si="1"/>
        <v>Solid</v>
      </c>
    </row>
    <row r="9" spans="1:15" ht="14.4" x14ac:dyDescent="0.3">
      <c r="A9">
        <v>3680</v>
      </c>
      <c r="B9" t="s">
        <v>33</v>
      </c>
      <c r="C9" t="s">
        <v>14</v>
      </c>
      <c r="D9" t="s">
        <v>32</v>
      </c>
      <c r="E9" s="2" t="s">
        <v>30</v>
      </c>
      <c r="F9">
        <v>3</v>
      </c>
      <c r="G9">
        <v>8835.41</v>
      </c>
      <c r="H9">
        <v>0.92</v>
      </c>
      <c r="I9">
        <v>2120.5</v>
      </c>
      <c r="J9" s="1">
        <v>45684</v>
      </c>
      <c r="K9" t="s">
        <v>21</v>
      </c>
      <c r="L9" t="s">
        <v>31</v>
      </c>
      <c r="M9">
        <v>-746.28</v>
      </c>
      <c r="N9" t="str">
        <f t="shared" si="0"/>
        <v>Jan</v>
      </c>
      <c r="O9" t="str">
        <f t="shared" si="1"/>
        <v>Solid</v>
      </c>
    </row>
    <row r="10" spans="1:15" ht="14.4" x14ac:dyDescent="0.3">
      <c r="A10">
        <v>2800</v>
      </c>
      <c r="B10" t="s">
        <v>18</v>
      </c>
      <c r="C10" t="s">
        <v>28</v>
      </c>
      <c r="D10" t="s">
        <v>29</v>
      </c>
      <c r="E10" s="2">
        <v>6</v>
      </c>
      <c r="F10">
        <v>0</v>
      </c>
      <c r="G10">
        <v>8737.08</v>
      </c>
      <c r="H10">
        <v>0.9</v>
      </c>
      <c r="I10">
        <v>0</v>
      </c>
      <c r="J10" s="1">
        <v>45729</v>
      </c>
      <c r="K10" t="s">
        <v>17</v>
      </c>
      <c r="L10" t="s">
        <v>31</v>
      </c>
      <c r="M10">
        <v>1737</v>
      </c>
      <c r="N10" t="str">
        <f t="shared" si="0"/>
        <v>Mar</v>
      </c>
      <c r="O10" t="str">
        <f t="shared" si="1"/>
        <v>Solid</v>
      </c>
    </row>
    <row r="11" spans="1:15" ht="14.4" x14ac:dyDescent="0.3">
      <c r="A11">
        <v>4060</v>
      </c>
      <c r="B11" t="s">
        <v>18</v>
      </c>
      <c r="C11" t="s">
        <v>19</v>
      </c>
      <c r="D11" t="s">
        <v>20</v>
      </c>
      <c r="E11" s="2" t="s">
        <v>26</v>
      </c>
      <c r="F11">
        <v>-1</v>
      </c>
      <c r="G11">
        <v>8655.4599999999991</v>
      </c>
      <c r="H11">
        <v>0.9</v>
      </c>
      <c r="I11">
        <v>-865.55</v>
      </c>
      <c r="J11" s="1">
        <v>45524</v>
      </c>
      <c r="K11" t="s">
        <v>17</v>
      </c>
      <c r="L11" t="s">
        <v>27</v>
      </c>
      <c r="M11">
        <v>3159.11</v>
      </c>
      <c r="N11" t="str">
        <f t="shared" si="0"/>
        <v>Aug</v>
      </c>
      <c r="O11" t="str">
        <f t="shared" si="1"/>
        <v>Returned</v>
      </c>
    </row>
    <row r="12" spans="1:15" ht="14.4" hidden="1" x14ac:dyDescent="0.3">
      <c r="A12">
        <v>2569</v>
      </c>
      <c r="B12" t="s">
        <v>18</v>
      </c>
      <c r="C12" t="s">
        <v>37</v>
      </c>
      <c r="D12" t="s">
        <v>38</v>
      </c>
      <c r="E12" s="2" t="s">
        <v>26</v>
      </c>
      <c r="F12">
        <v>2</v>
      </c>
      <c r="G12">
        <v>9605.11</v>
      </c>
      <c r="H12">
        <v>0.88</v>
      </c>
      <c r="I12">
        <v>2305.23</v>
      </c>
      <c r="J12" s="1">
        <v>45528</v>
      </c>
      <c r="K12" t="s">
        <v>17</v>
      </c>
      <c r="L12" t="s">
        <v>53</v>
      </c>
      <c r="M12">
        <v>128.88999999999999</v>
      </c>
      <c r="N12" t="str">
        <f t="shared" si="0"/>
        <v>Aug</v>
      </c>
      <c r="O12" t="str">
        <f t="shared" si="1"/>
        <v>Solid</v>
      </c>
    </row>
    <row r="13" spans="1:15" ht="14.4" x14ac:dyDescent="0.3">
      <c r="A13">
        <v>2432</v>
      </c>
      <c r="B13" t="s">
        <v>18</v>
      </c>
      <c r="C13" t="s">
        <v>37</v>
      </c>
      <c r="D13" t="s">
        <v>44</v>
      </c>
      <c r="E13" s="2" t="s">
        <v>26</v>
      </c>
      <c r="F13">
        <v>1</v>
      </c>
      <c r="G13">
        <v>3036.61</v>
      </c>
      <c r="H13">
        <v>0.86</v>
      </c>
      <c r="I13">
        <v>425.13</v>
      </c>
      <c r="J13" s="1">
        <v>45591</v>
      </c>
      <c r="K13" t="s">
        <v>17</v>
      </c>
      <c r="L13" t="s">
        <v>23</v>
      </c>
      <c r="M13">
        <v>3754.3</v>
      </c>
      <c r="N13" t="str">
        <f t="shared" si="0"/>
        <v>Oct</v>
      </c>
      <c r="O13" t="str">
        <f t="shared" si="1"/>
        <v>Solid</v>
      </c>
    </row>
    <row r="14" spans="1:15" ht="14.4" hidden="1" x14ac:dyDescent="0.3">
      <c r="A14">
        <v>4066</v>
      </c>
      <c r="B14" t="s">
        <v>13</v>
      </c>
      <c r="C14" t="s">
        <v>28</v>
      </c>
      <c r="D14" t="s">
        <v>29</v>
      </c>
      <c r="E14" s="2" t="s">
        <v>26</v>
      </c>
      <c r="F14">
        <v>4</v>
      </c>
      <c r="G14">
        <v>6599.26</v>
      </c>
      <c r="H14">
        <v>0.85</v>
      </c>
      <c r="I14">
        <v>3959.56</v>
      </c>
      <c r="J14" s="1">
        <v>45837</v>
      </c>
      <c r="K14" t="s">
        <v>21</v>
      </c>
      <c r="L14" t="s">
        <v>34</v>
      </c>
      <c r="M14">
        <v>3344.47</v>
      </c>
      <c r="N14" t="str">
        <f t="shared" si="0"/>
        <v>Jun</v>
      </c>
      <c r="O14" t="str">
        <f t="shared" si="1"/>
        <v>Solid</v>
      </c>
    </row>
    <row r="15" spans="1:15" ht="14.4" hidden="1" x14ac:dyDescent="0.3">
      <c r="A15">
        <v>2367</v>
      </c>
      <c r="B15" t="s">
        <v>13</v>
      </c>
      <c r="C15" t="s">
        <v>24</v>
      </c>
      <c r="D15" t="s">
        <v>48</v>
      </c>
      <c r="E15" s="2" t="s">
        <v>30</v>
      </c>
      <c r="F15">
        <v>4</v>
      </c>
      <c r="G15">
        <v>6202.99</v>
      </c>
      <c r="H15">
        <v>0.84</v>
      </c>
      <c r="I15">
        <v>3969.91</v>
      </c>
      <c r="J15" s="1">
        <v>45608</v>
      </c>
      <c r="K15" t="s">
        <v>17</v>
      </c>
      <c r="L15" t="s">
        <v>34</v>
      </c>
      <c r="M15">
        <v>-202.12</v>
      </c>
      <c r="N15" t="str">
        <f t="shared" si="0"/>
        <v>Nov</v>
      </c>
      <c r="O15" t="str">
        <f t="shared" si="1"/>
        <v>Solid</v>
      </c>
    </row>
    <row r="16" spans="1:15" ht="14.4" x14ac:dyDescent="0.3">
      <c r="A16">
        <v>4220</v>
      </c>
      <c r="B16" t="s">
        <v>13</v>
      </c>
      <c r="C16" t="s">
        <v>24</v>
      </c>
      <c r="D16" t="s">
        <v>48</v>
      </c>
      <c r="E16" s="2" t="s">
        <v>16</v>
      </c>
      <c r="F16">
        <v>2</v>
      </c>
      <c r="G16">
        <v>2290.64</v>
      </c>
      <c r="H16">
        <v>0.84</v>
      </c>
      <c r="I16">
        <v>733</v>
      </c>
      <c r="J16" s="1">
        <v>45688</v>
      </c>
      <c r="K16" t="s">
        <v>21</v>
      </c>
      <c r="L16" t="s">
        <v>31</v>
      </c>
      <c r="M16">
        <v>608.16</v>
      </c>
      <c r="N16" t="str">
        <f t="shared" si="0"/>
        <v>Jan</v>
      </c>
      <c r="O16" t="str">
        <f t="shared" si="1"/>
        <v>Solid</v>
      </c>
    </row>
    <row r="17" spans="1:15" ht="14.4" x14ac:dyDescent="0.3">
      <c r="A17">
        <v>4111</v>
      </c>
      <c r="B17" t="s">
        <v>18</v>
      </c>
      <c r="C17" t="s">
        <v>24</v>
      </c>
      <c r="D17" t="s">
        <v>36</v>
      </c>
      <c r="E17" s="2" t="s">
        <v>26</v>
      </c>
      <c r="F17">
        <v>-1</v>
      </c>
      <c r="G17">
        <v>4934.05</v>
      </c>
      <c r="H17">
        <v>0.83</v>
      </c>
      <c r="I17">
        <v>-838.79</v>
      </c>
      <c r="J17" s="1">
        <v>45622</v>
      </c>
      <c r="K17" t="s">
        <v>21</v>
      </c>
      <c r="L17" t="s">
        <v>54</v>
      </c>
      <c r="M17">
        <v>2377.84</v>
      </c>
      <c r="N17" t="str">
        <f t="shared" si="0"/>
        <v>Nov</v>
      </c>
      <c r="O17" t="str">
        <f t="shared" si="1"/>
        <v>Returned</v>
      </c>
    </row>
    <row r="18" spans="1:15" ht="14.4" hidden="1" x14ac:dyDescent="0.3">
      <c r="A18">
        <v>3759</v>
      </c>
      <c r="B18" t="s">
        <v>18</v>
      </c>
      <c r="C18" t="s">
        <v>37</v>
      </c>
      <c r="D18" t="s">
        <v>50</v>
      </c>
      <c r="E18" s="2">
        <v>12</v>
      </c>
      <c r="F18">
        <v>0</v>
      </c>
      <c r="G18">
        <v>9605.6</v>
      </c>
      <c r="H18">
        <v>0.81</v>
      </c>
      <c r="I18">
        <v>0</v>
      </c>
      <c r="J18" s="1">
        <v>45691</v>
      </c>
      <c r="K18" t="s">
        <v>17</v>
      </c>
      <c r="L18" t="s">
        <v>52</v>
      </c>
      <c r="M18">
        <v>1611.59</v>
      </c>
      <c r="N18" t="str">
        <f t="shared" si="0"/>
        <v>Feb</v>
      </c>
      <c r="O18" t="str">
        <f t="shared" si="1"/>
        <v>Solid</v>
      </c>
    </row>
    <row r="19" spans="1:15" ht="14.4" hidden="1" x14ac:dyDescent="0.3">
      <c r="A19">
        <v>2487</v>
      </c>
      <c r="B19" t="s">
        <v>33</v>
      </c>
      <c r="C19" t="s">
        <v>28</v>
      </c>
      <c r="D19" t="s">
        <v>41</v>
      </c>
      <c r="E19" s="2" t="s">
        <v>26</v>
      </c>
      <c r="F19">
        <v>3</v>
      </c>
      <c r="G19">
        <v>5881.13</v>
      </c>
      <c r="H19">
        <v>0.8</v>
      </c>
      <c r="I19">
        <v>3528.68</v>
      </c>
      <c r="J19" s="1">
        <v>45747</v>
      </c>
      <c r="K19" t="s">
        <v>17</v>
      </c>
      <c r="L19" t="s">
        <v>53</v>
      </c>
      <c r="M19">
        <v>2108.4</v>
      </c>
      <c r="N19" t="str">
        <f t="shared" si="0"/>
        <v>Mar</v>
      </c>
      <c r="O19" t="str">
        <f t="shared" si="1"/>
        <v>Solid</v>
      </c>
    </row>
    <row r="20" spans="1:15" ht="14.4" hidden="1" x14ac:dyDescent="0.3">
      <c r="A20">
        <v>4484</v>
      </c>
      <c r="B20" t="s">
        <v>33</v>
      </c>
      <c r="C20" t="s">
        <v>37</v>
      </c>
      <c r="D20" t="s">
        <v>38</v>
      </c>
      <c r="E20" s="2">
        <v>11</v>
      </c>
      <c r="F20">
        <v>3</v>
      </c>
      <c r="G20">
        <v>5981.92</v>
      </c>
      <c r="H20">
        <v>0.8</v>
      </c>
      <c r="I20">
        <v>3589.15</v>
      </c>
      <c r="J20" s="1">
        <v>45638</v>
      </c>
      <c r="K20" t="s">
        <v>21</v>
      </c>
      <c r="L20" t="s">
        <v>53</v>
      </c>
      <c r="M20">
        <v>-751.05</v>
      </c>
      <c r="N20" t="str">
        <f t="shared" si="0"/>
        <v>Dec</v>
      </c>
      <c r="O20" t="str">
        <f t="shared" si="1"/>
        <v>Solid</v>
      </c>
    </row>
    <row r="21" spans="1:15" ht="14.4" hidden="1" x14ac:dyDescent="0.3">
      <c r="A21">
        <v>2434</v>
      </c>
      <c r="B21" t="s">
        <v>13</v>
      </c>
      <c r="C21" t="s">
        <v>14</v>
      </c>
      <c r="D21" t="s">
        <v>40</v>
      </c>
      <c r="E21" s="2" t="s">
        <v>16</v>
      </c>
      <c r="F21">
        <v>-1</v>
      </c>
      <c r="G21">
        <v>3019.25</v>
      </c>
      <c r="H21">
        <v>0.79</v>
      </c>
      <c r="I21">
        <v>-634.04</v>
      </c>
      <c r="J21" s="1">
        <v>45699</v>
      </c>
      <c r="K21" t="s">
        <v>17</v>
      </c>
      <c r="L21" t="s">
        <v>52</v>
      </c>
      <c r="M21">
        <v>387.15</v>
      </c>
      <c r="N21" t="str">
        <f t="shared" si="0"/>
        <v>Feb</v>
      </c>
      <c r="O21" t="str">
        <f t="shared" si="1"/>
        <v>Returned</v>
      </c>
    </row>
    <row r="22" spans="1:15" ht="14.4" x14ac:dyDescent="0.3">
      <c r="A22">
        <v>2300</v>
      </c>
      <c r="B22" t="s">
        <v>33</v>
      </c>
      <c r="C22" t="s">
        <v>37</v>
      </c>
      <c r="D22" t="s">
        <v>38</v>
      </c>
      <c r="E22" s="2" t="s">
        <v>26</v>
      </c>
      <c r="F22">
        <v>3</v>
      </c>
      <c r="G22">
        <v>6331.64</v>
      </c>
      <c r="H22">
        <v>0.78</v>
      </c>
      <c r="I22">
        <v>4178.88</v>
      </c>
      <c r="J22" s="1">
        <v>45521</v>
      </c>
      <c r="K22" t="s">
        <v>21</v>
      </c>
      <c r="L22" t="s">
        <v>31</v>
      </c>
      <c r="M22">
        <v>3380.28</v>
      </c>
      <c r="N22" t="str">
        <f t="shared" si="0"/>
        <v>Aug</v>
      </c>
      <c r="O22" t="str">
        <f t="shared" si="1"/>
        <v>Solid</v>
      </c>
    </row>
    <row r="23" spans="1:15" ht="14.4" x14ac:dyDescent="0.3">
      <c r="A23">
        <v>2389</v>
      </c>
      <c r="B23" t="s">
        <v>18</v>
      </c>
      <c r="C23" t="s">
        <v>37</v>
      </c>
      <c r="D23" t="s">
        <v>43</v>
      </c>
      <c r="E23" s="2" t="s">
        <v>30</v>
      </c>
      <c r="F23">
        <v>0</v>
      </c>
      <c r="G23">
        <v>7901.16</v>
      </c>
      <c r="H23">
        <v>0.77</v>
      </c>
      <c r="I23">
        <v>0</v>
      </c>
      <c r="J23" s="1">
        <v>45573</v>
      </c>
      <c r="K23" t="s">
        <v>17</v>
      </c>
      <c r="L23" t="s">
        <v>31</v>
      </c>
      <c r="M23">
        <v>-406.39</v>
      </c>
      <c r="N23" t="str">
        <f t="shared" si="0"/>
        <v>Oct</v>
      </c>
      <c r="O23" t="str">
        <f t="shared" si="1"/>
        <v>Solid</v>
      </c>
    </row>
    <row r="24" spans="1:15" ht="14.4" x14ac:dyDescent="0.3">
      <c r="A24">
        <v>2572</v>
      </c>
      <c r="B24" t="s">
        <v>33</v>
      </c>
      <c r="C24" t="s">
        <v>24</v>
      </c>
      <c r="D24" t="s">
        <v>36</v>
      </c>
      <c r="E24" s="2" t="s">
        <v>30</v>
      </c>
      <c r="F24">
        <v>-1</v>
      </c>
      <c r="G24">
        <v>2729.99</v>
      </c>
      <c r="H24">
        <v>0.76</v>
      </c>
      <c r="I24">
        <v>-655.20000000000005</v>
      </c>
      <c r="J24" s="1">
        <v>45322</v>
      </c>
      <c r="K24" t="s">
        <v>21</v>
      </c>
      <c r="L24" t="s">
        <v>27</v>
      </c>
      <c r="M24">
        <v>1204.81</v>
      </c>
      <c r="N24" t="str">
        <f t="shared" si="0"/>
        <v>Jan</v>
      </c>
      <c r="O24" t="str">
        <f t="shared" si="1"/>
        <v>Returned</v>
      </c>
    </row>
    <row r="25" spans="1:15" ht="14.4" hidden="1" x14ac:dyDescent="0.3">
      <c r="A25">
        <v>4023</v>
      </c>
      <c r="B25" t="s">
        <v>18</v>
      </c>
      <c r="C25" t="s">
        <v>28</v>
      </c>
      <c r="D25" t="s">
        <v>42</v>
      </c>
      <c r="E25" s="2" t="s">
        <v>30</v>
      </c>
      <c r="F25">
        <v>0</v>
      </c>
      <c r="G25">
        <v>2376.12</v>
      </c>
      <c r="H25">
        <v>0.76</v>
      </c>
      <c r="I25">
        <v>0</v>
      </c>
      <c r="J25" s="1">
        <v>45624</v>
      </c>
      <c r="K25" t="s">
        <v>17</v>
      </c>
      <c r="L25" t="s">
        <v>53</v>
      </c>
      <c r="M25">
        <v>1267.4100000000001</v>
      </c>
      <c r="N25" t="str">
        <f t="shared" si="0"/>
        <v>Nov</v>
      </c>
      <c r="O25" t="str">
        <f t="shared" si="1"/>
        <v>Solid</v>
      </c>
    </row>
    <row r="26" spans="1:15" ht="14.4" hidden="1" x14ac:dyDescent="0.3">
      <c r="A26">
        <v>2490</v>
      </c>
      <c r="B26" t="s">
        <v>18</v>
      </c>
      <c r="C26" t="s">
        <v>19</v>
      </c>
      <c r="D26" t="s">
        <v>22</v>
      </c>
      <c r="E26" s="2" t="s">
        <v>26</v>
      </c>
      <c r="F26">
        <v>3</v>
      </c>
      <c r="G26">
        <v>5015.1899999999996</v>
      </c>
      <c r="H26">
        <v>0.75</v>
      </c>
      <c r="I26">
        <v>3761.39</v>
      </c>
      <c r="J26" s="1">
        <v>45622</v>
      </c>
      <c r="K26" t="s">
        <v>17</v>
      </c>
      <c r="L26" t="s">
        <v>53</v>
      </c>
      <c r="M26">
        <v>-494.53</v>
      </c>
      <c r="N26" t="str">
        <f t="shared" si="0"/>
        <v>Nov</v>
      </c>
      <c r="O26" t="str">
        <f t="shared" si="1"/>
        <v>Solid</v>
      </c>
    </row>
    <row r="27" spans="1:15" ht="14.4" x14ac:dyDescent="0.3">
      <c r="A27">
        <v>2836</v>
      </c>
      <c r="B27" t="s">
        <v>33</v>
      </c>
      <c r="C27" t="s">
        <v>37</v>
      </c>
      <c r="D27" t="s">
        <v>43</v>
      </c>
      <c r="E27" s="2" t="s">
        <v>26</v>
      </c>
      <c r="F27">
        <v>0</v>
      </c>
      <c r="G27">
        <v>9098.9</v>
      </c>
      <c r="H27">
        <v>0.75</v>
      </c>
      <c r="I27">
        <v>0</v>
      </c>
      <c r="J27" s="1">
        <v>45860</v>
      </c>
      <c r="K27" t="s">
        <v>21</v>
      </c>
      <c r="L27" t="s">
        <v>31</v>
      </c>
      <c r="M27">
        <v>2729.87</v>
      </c>
      <c r="N27" t="str">
        <f t="shared" si="0"/>
        <v>Jul</v>
      </c>
      <c r="O27" t="str">
        <f t="shared" si="1"/>
        <v>Solid</v>
      </c>
    </row>
    <row r="28" spans="1:15" ht="14.4" hidden="1" x14ac:dyDescent="0.3">
      <c r="A28">
        <v>2135</v>
      </c>
      <c r="B28" t="s">
        <v>33</v>
      </c>
      <c r="C28" t="s">
        <v>37</v>
      </c>
      <c r="D28" t="s">
        <v>44</v>
      </c>
      <c r="E28" s="2" t="s">
        <v>26</v>
      </c>
      <c r="F28">
        <v>2</v>
      </c>
      <c r="G28">
        <v>9106.61</v>
      </c>
      <c r="H28">
        <v>0.74</v>
      </c>
      <c r="I28">
        <v>4735.4399999999996</v>
      </c>
      <c r="J28" s="1">
        <v>45599</v>
      </c>
      <c r="K28" t="s">
        <v>21</v>
      </c>
      <c r="L28" t="s">
        <v>53</v>
      </c>
      <c r="M28">
        <v>2422.38</v>
      </c>
      <c r="N28" t="str">
        <f t="shared" si="0"/>
        <v>Nov</v>
      </c>
      <c r="O28" t="str">
        <f t="shared" si="1"/>
        <v>Solid</v>
      </c>
    </row>
    <row r="29" spans="1:15" ht="14.4" x14ac:dyDescent="0.3">
      <c r="A29">
        <v>3175</v>
      </c>
      <c r="B29" t="s">
        <v>18</v>
      </c>
      <c r="C29" t="s">
        <v>24</v>
      </c>
      <c r="D29" t="s">
        <v>48</v>
      </c>
      <c r="E29" s="2">
        <v>10</v>
      </c>
      <c r="F29">
        <v>-1</v>
      </c>
      <c r="G29">
        <v>6583.76</v>
      </c>
      <c r="H29">
        <v>0.71</v>
      </c>
      <c r="I29">
        <v>-1909.29</v>
      </c>
      <c r="J29" s="1">
        <v>45635</v>
      </c>
      <c r="K29" t="s">
        <v>21</v>
      </c>
      <c r="L29" t="s">
        <v>23</v>
      </c>
      <c r="M29">
        <v>2194.69</v>
      </c>
      <c r="N29" t="str">
        <f t="shared" si="0"/>
        <v>Dec</v>
      </c>
      <c r="O29" t="str">
        <f t="shared" si="1"/>
        <v>Returned</v>
      </c>
    </row>
    <row r="30" spans="1:15" ht="14.4" x14ac:dyDescent="0.3">
      <c r="A30">
        <v>3874</v>
      </c>
      <c r="B30" t="s">
        <v>18</v>
      </c>
      <c r="C30" t="s">
        <v>37</v>
      </c>
      <c r="D30" t="s">
        <v>50</v>
      </c>
      <c r="E30" s="2" t="s">
        <v>30</v>
      </c>
      <c r="F30">
        <v>4</v>
      </c>
      <c r="G30">
        <v>3305.6</v>
      </c>
      <c r="H30">
        <v>0.7</v>
      </c>
      <c r="I30">
        <v>3966.72</v>
      </c>
      <c r="J30" s="1">
        <v>45531</v>
      </c>
      <c r="K30" t="s">
        <v>17</v>
      </c>
      <c r="L30" t="s">
        <v>39</v>
      </c>
      <c r="M30">
        <v>1605.13</v>
      </c>
      <c r="N30" t="str">
        <f t="shared" si="0"/>
        <v>Aug</v>
      </c>
      <c r="O30" t="str">
        <f t="shared" si="1"/>
        <v>Solid</v>
      </c>
    </row>
    <row r="31" spans="1:15" ht="14.4" hidden="1" x14ac:dyDescent="0.3">
      <c r="A31">
        <v>2781</v>
      </c>
      <c r="B31" t="s">
        <v>33</v>
      </c>
      <c r="C31" t="s">
        <v>14</v>
      </c>
      <c r="D31" t="s">
        <v>40</v>
      </c>
      <c r="E31" s="2">
        <v>12</v>
      </c>
      <c r="F31">
        <v>1</v>
      </c>
      <c r="G31">
        <v>6546.59</v>
      </c>
      <c r="H31">
        <v>0.68</v>
      </c>
      <c r="I31">
        <v>2094.91</v>
      </c>
      <c r="J31" s="1">
        <v>45172</v>
      </c>
      <c r="K31" t="s">
        <v>21</v>
      </c>
      <c r="L31" t="s">
        <v>34</v>
      </c>
      <c r="M31">
        <v>1504.31</v>
      </c>
      <c r="N31" t="str">
        <f t="shared" si="0"/>
        <v>Sep</v>
      </c>
      <c r="O31" t="str">
        <f t="shared" si="1"/>
        <v>Solid</v>
      </c>
    </row>
    <row r="32" spans="1:15" ht="14.4" hidden="1" x14ac:dyDescent="0.3">
      <c r="A32">
        <v>2594</v>
      </c>
      <c r="B32" t="s">
        <v>18</v>
      </c>
      <c r="C32" t="s">
        <v>14</v>
      </c>
      <c r="D32" t="s">
        <v>45</v>
      </c>
      <c r="E32" s="2" t="s">
        <v>30</v>
      </c>
      <c r="F32">
        <v>3</v>
      </c>
      <c r="G32">
        <v>7944.34</v>
      </c>
      <c r="H32">
        <v>0.67</v>
      </c>
      <c r="I32">
        <v>7864.9</v>
      </c>
      <c r="J32" s="1">
        <v>45345</v>
      </c>
      <c r="K32" t="s">
        <v>21</v>
      </c>
      <c r="L32" t="s">
        <v>53</v>
      </c>
      <c r="M32">
        <v>1534.91</v>
      </c>
      <c r="N32" t="str">
        <f t="shared" si="0"/>
        <v>Feb</v>
      </c>
      <c r="O32" t="str">
        <f t="shared" si="1"/>
        <v>Solid</v>
      </c>
    </row>
    <row r="33" spans="1:15" ht="14.4" x14ac:dyDescent="0.3">
      <c r="A33">
        <v>3988</v>
      </c>
      <c r="B33" t="s">
        <v>13</v>
      </c>
      <c r="C33" t="s">
        <v>24</v>
      </c>
      <c r="D33" t="s">
        <v>25</v>
      </c>
      <c r="E33" s="2" t="s">
        <v>16</v>
      </c>
      <c r="F33">
        <v>4</v>
      </c>
      <c r="G33">
        <v>7945.46</v>
      </c>
      <c r="H33">
        <v>0.67</v>
      </c>
      <c r="I33">
        <v>10488.01</v>
      </c>
      <c r="J33" s="1">
        <v>45575</v>
      </c>
      <c r="K33" t="s">
        <v>17</v>
      </c>
      <c r="L33" t="s">
        <v>27</v>
      </c>
      <c r="M33">
        <v>3698.62</v>
      </c>
      <c r="N33" t="str">
        <f t="shared" si="0"/>
        <v>Oct</v>
      </c>
      <c r="O33" t="str">
        <f t="shared" si="1"/>
        <v>Solid</v>
      </c>
    </row>
    <row r="34" spans="1:15" ht="14.4" x14ac:dyDescent="0.3">
      <c r="A34">
        <v>2021</v>
      </c>
      <c r="B34" t="s">
        <v>33</v>
      </c>
      <c r="C34" t="s">
        <v>28</v>
      </c>
      <c r="D34" t="s">
        <v>42</v>
      </c>
      <c r="E34" s="2" t="s">
        <v>26</v>
      </c>
      <c r="F34">
        <v>-1</v>
      </c>
      <c r="G34">
        <v>7086.7</v>
      </c>
      <c r="H34">
        <v>0.66</v>
      </c>
      <c r="I34">
        <v>-2409.48</v>
      </c>
      <c r="J34" s="1">
        <v>45615</v>
      </c>
      <c r="K34" t="s">
        <v>21</v>
      </c>
      <c r="L34" t="s">
        <v>51</v>
      </c>
      <c r="M34">
        <v>-1120.49</v>
      </c>
      <c r="N34" t="str">
        <f t="shared" si="0"/>
        <v>Nov</v>
      </c>
      <c r="O34" t="str">
        <f t="shared" si="1"/>
        <v>Returned</v>
      </c>
    </row>
    <row r="35" spans="1:15" ht="14.4" x14ac:dyDescent="0.3">
      <c r="A35">
        <v>2880</v>
      </c>
      <c r="B35" t="s">
        <v>13</v>
      </c>
      <c r="C35" t="s">
        <v>37</v>
      </c>
      <c r="D35" t="s">
        <v>38</v>
      </c>
      <c r="E35" s="2">
        <v>9</v>
      </c>
      <c r="F35">
        <v>0</v>
      </c>
      <c r="G35">
        <v>8132.33</v>
      </c>
      <c r="H35">
        <v>0.63</v>
      </c>
      <c r="I35">
        <v>0</v>
      </c>
      <c r="J35" s="1">
        <v>45796</v>
      </c>
      <c r="K35" t="s">
        <v>21</v>
      </c>
      <c r="L35" t="s">
        <v>31</v>
      </c>
      <c r="M35">
        <v>191.67</v>
      </c>
      <c r="N35" t="str">
        <f t="shared" si="0"/>
        <v>May</v>
      </c>
      <c r="O35" t="str">
        <f t="shared" si="1"/>
        <v>Solid</v>
      </c>
    </row>
    <row r="36" spans="1:15" ht="14.4" x14ac:dyDescent="0.3">
      <c r="A36">
        <v>2468</v>
      </c>
      <c r="B36" t="s">
        <v>18</v>
      </c>
      <c r="C36" t="s">
        <v>19</v>
      </c>
      <c r="D36" t="s">
        <v>46</v>
      </c>
      <c r="E36" s="2">
        <v>7</v>
      </c>
      <c r="F36">
        <v>0</v>
      </c>
      <c r="G36">
        <v>6012.23</v>
      </c>
      <c r="H36">
        <v>0.62</v>
      </c>
      <c r="I36">
        <v>0</v>
      </c>
      <c r="J36" s="1">
        <v>45591</v>
      </c>
      <c r="K36" t="s">
        <v>21</v>
      </c>
      <c r="L36" t="s">
        <v>54</v>
      </c>
      <c r="M36">
        <v>-1113.25</v>
      </c>
      <c r="N36" t="str">
        <f t="shared" si="0"/>
        <v>Oct</v>
      </c>
      <c r="O36" t="str">
        <f t="shared" si="1"/>
        <v>Solid</v>
      </c>
    </row>
    <row r="37" spans="1:15" ht="14.4" x14ac:dyDescent="0.3">
      <c r="A37">
        <v>2089</v>
      </c>
      <c r="B37" t="s">
        <v>18</v>
      </c>
      <c r="C37" t="s">
        <v>14</v>
      </c>
      <c r="D37" t="s">
        <v>32</v>
      </c>
      <c r="E37" s="2" t="s">
        <v>26</v>
      </c>
      <c r="F37">
        <v>2</v>
      </c>
      <c r="G37">
        <v>6874.77</v>
      </c>
      <c r="H37">
        <v>0.6</v>
      </c>
      <c r="I37">
        <v>5499.82</v>
      </c>
      <c r="J37" s="1">
        <v>45628</v>
      </c>
      <c r="K37" t="s">
        <v>17</v>
      </c>
      <c r="L37" t="s">
        <v>23</v>
      </c>
      <c r="M37">
        <v>-1076.6600000000001</v>
      </c>
      <c r="N37" t="str">
        <f t="shared" si="0"/>
        <v>Dec</v>
      </c>
      <c r="O37" t="str">
        <f t="shared" si="1"/>
        <v>Solid</v>
      </c>
    </row>
    <row r="38" spans="1:15" ht="14.4" x14ac:dyDescent="0.3">
      <c r="A38">
        <v>4249</v>
      </c>
      <c r="B38" t="s">
        <v>13</v>
      </c>
      <c r="C38" t="s">
        <v>14</v>
      </c>
      <c r="D38" t="s">
        <v>32</v>
      </c>
      <c r="E38" s="2" t="s">
        <v>26</v>
      </c>
      <c r="F38">
        <v>1</v>
      </c>
      <c r="G38">
        <v>2902.95</v>
      </c>
      <c r="H38">
        <v>0.6</v>
      </c>
      <c r="I38">
        <v>1161.18</v>
      </c>
      <c r="J38" s="1">
        <v>45576</v>
      </c>
      <c r="K38" t="s">
        <v>21</v>
      </c>
      <c r="L38" t="s">
        <v>54</v>
      </c>
      <c r="M38">
        <v>-855.08</v>
      </c>
      <c r="N38" t="str">
        <f t="shared" si="0"/>
        <v>Oct</v>
      </c>
      <c r="O38" t="str">
        <f t="shared" si="1"/>
        <v>Solid</v>
      </c>
    </row>
    <row r="39" spans="1:15" ht="14.4" x14ac:dyDescent="0.3">
      <c r="A39">
        <v>4463</v>
      </c>
      <c r="B39" t="s">
        <v>33</v>
      </c>
      <c r="C39" t="s">
        <v>19</v>
      </c>
      <c r="D39" t="s">
        <v>22</v>
      </c>
      <c r="E39" s="2">
        <v>11</v>
      </c>
      <c r="F39">
        <v>3</v>
      </c>
      <c r="G39">
        <v>8317.5300000000007</v>
      </c>
      <c r="H39">
        <v>0.6</v>
      </c>
      <c r="I39">
        <v>9981.0400000000009</v>
      </c>
      <c r="J39" s="1">
        <v>45815</v>
      </c>
      <c r="K39" t="s">
        <v>21</v>
      </c>
      <c r="L39" t="s">
        <v>27</v>
      </c>
      <c r="M39">
        <v>1821.65</v>
      </c>
      <c r="N39" t="str">
        <f t="shared" si="0"/>
        <v>Jun</v>
      </c>
      <c r="O39" t="str">
        <f t="shared" si="1"/>
        <v>Solid</v>
      </c>
    </row>
    <row r="40" spans="1:15" ht="14.4" x14ac:dyDescent="0.3">
      <c r="A40">
        <v>2185</v>
      </c>
      <c r="B40" t="s">
        <v>18</v>
      </c>
      <c r="C40" t="s">
        <v>14</v>
      </c>
      <c r="D40" t="s">
        <v>45</v>
      </c>
      <c r="E40" s="2" t="s">
        <v>30</v>
      </c>
      <c r="F40">
        <v>4</v>
      </c>
      <c r="G40">
        <v>4207.4399999999996</v>
      </c>
      <c r="H40">
        <v>0.59</v>
      </c>
      <c r="I40">
        <v>6900.2</v>
      </c>
      <c r="J40" s="1">
        <v>45816</v>
      </c>
      <c r="K40" t="s">
        <v>17</v>
      </c>
      <c r="L40" t="s">
        <v>39</v>
      </c>
      <c r="M40">
        <v>-615.48</v>
      </c>
      <c r="N40" t="str">
        <f t="shared" si="0"/>
        <v>Jun</v>
      </c>
      <c r="O40" t="str">
        <f t="shared" si="1"/>
        <v>Solid</v>
      </c>
    </row>
    <row r="41" spans="1:15" ht="14.4" hidden="1" x14ac:dyDescent="0.3">
      <c r="A41">
        <v>2621</v>
      </c>
      <c r="B41" t="s">
        <v>13</v>
      </c>
      <c r="C41" t="s">
        <v>19</v>
      </c>
      <c r="D41" t="s">
        <v>46</v>
      </c>
      <c r="E41" s="2" t="s">
        <v>26</v>
      </c>
      <c r="F41">
        <v>3</v>
      </c>
      <c r="G41">
        <v>6466.57</v>
      </c>
      <c r="H41">
        <v>0.59</v>
      </c>
      <c r="I41">
        <v>7953.88</v>
      </c>
      <c r="J41" s="1">
        <v>45431</v>
      </c>
      <c r="K41" t="s">
        <v>17</v>
      </c>
      <c r="L41" t="s">
        <v>34</v>
      </c>
      <c r="M41">
        <v>-1152.8599999999999</v>
      </c>
      <c r="N41" t="str">
        <f t="shared" si="0"/>
        <v>May</v>
      </c>
      <c r="O41" t="str">
        <f t="shared" si="1"/>
        <v>Solid</v>
      </c>
    </row>
    <row r="42" spans="1:15" ht="14.4" hidden="1" x14ac:dyDescent="0.3">
      <c r="A42">
        <v>3206</v>
      </c>
      <c r="B42" t="s">
        <v>13</v>
      </c>
      <c r="C42" t="s">
        <v>37</v>
      </c>
      <c r="D42" t="s">
        <v>43</v>
      </c>
      <c r="E42" s="2" t="s">
        <v>26</v>
      </c>
      <c r="F42">
        <v>-1</v>
      </c>
      <c r="G42">
        <v>4694.72</v>
      </c>
      <c r="H42">
        <v>0.57999999999999996</v>
      </c>
      <c r="I42">
        <v>-1971.78</v>
      </c>
      <c r="J42" s="1">
        <v>45376</v>
      </c>
      <c r="K42" t="s">
        <v>21</v>
      </c>
      <c r="L42" t="s">
        <v>34</v>
      </c>
      <c r="M42">
        <v>3611.24</v>
      </c>
      <c r="N42" t="str">
        <f t="shared" si="0"/>
        <v>Mar</v>
      </c>
      <c r="O42" t="str">
        <f t="shared" si="1"/>
        <v>Returned</v>
      </c>
    </row>
    <row r="43" spans="1:15" ht="14.4" hidden="1" x14ac:dyDescent="0.3">
      <c r="A43">
        <v>2942</v>
      </c>
      <c r="B43" t="s">
        <v>18</v>
      </c>
      <c r="C43" t="s">
        <v>14</v>
      </c>
      <c r="D43" t="s">
        <v>32</v>
      </c>
      <c r="E43" s="2">
        <v>10</v>
      </c>
      <c r="F43">
        <v>4</v>
      </c>
      <c r="G43">
        <v>5222.3900000000003</v>
      </c>
      <c r="H43">
        <v>0.56999999999999995</v>
      </c>
      <c r="I43">
        <v>8982.51</v>
      </c>
      <c r="J43" s="1">
        <v>45763</v>
      </c>
      <c r="K43" t="s">
        <v>17</v>
      </c>
      <c r="L43" t="s">
        <v>34</v>
      </c>
      <c r="M43">
        <v>-68.53</v>
      </c>
      <c r="N43" t="str">
        <f t="shared" si="0"/>
        <v>Apr</v>
      </c>
      <c r="O43" t="str">
        <f t="shared" si="1"/>
        <v>Solid</v>
      </c>
    </row>
    <row r="44" spans="1:15" ht="14.4" x14ac:dyDescent="0.3">
      <c r="A44">
        <v>4352</v>
      </c>
      <c r="B44" t="s">
        <v>33</v>
      </c>
      <c r="C44" t="s">
        <v>28</v>
      </c>
      <c r="D44" t="s">
        <v>47</v>
      </c>
      <c r="E44" s="2">
        <v>9</v>
      </c>
      <c r="F44">
        <v>-1</v>
      </c>
      <c r="G44">
        <v>9332.64</v>
      </c>
      <c r="H44">
        <v>0.56999999999999995</v>
      </c>
      <c r="I44">
        <v>-4013.04</v>
      </c>
      <c r="J44" s="1">
        <v>45667</v>
      </c>
      <c r="K44" t="s">
        <v>21</v>
      </c>
      <c r="L44" t="s">
        <v>39</v>
      </c>
      <c r="M44">
        <v>-238.9</v>
      </c>
      <c r="N44" t="str">
        <f t="shared" si="0"/>
        <v>Jan</v>
      </c>
      <c r="O44" t="str">
        <f t="shared" si="1"/>
        <v>Returned</v>
      </c>
    </row>
    <row r="45" spans="1:15" ht="14.4" x14ac:dyDescent="0.3">
      <c r="A45">
        <v>2325</v>
      </c>
      <c r="B45" t="s">
        <v>33</v>
      </c>
      <c r="C45" t="s">
        <v>37</v>
      </c>
      <c r="D45" t="s">
        <v>44</v>
      </c>
      <c r="E45" s="2" t="s">
        <v>16</v>
      </c>
      <c r="F45">
        <v>0</v>
      </c>
      <c r="G45">
        <v>8031.83</v>
      </c>
      <c r="H45">
        <v>0.56000000000000005</v>
      </c>
      <c r="I45">
        <v>0</v>
      </c>
      <c r="J45" s="1">
        <v>45795</v>
      </c>
      <c r="K45" t="s">
        <v>17</v>
      </c>
      <c r="L45" t="s">
        <v>39</v>
      </c>
      <c r="M45">
        <v>3954.38</v>
      </c>
      <c r="N45" t="str">
        <f t="shared" si="0"/>
        <v>May</v>
      </c>
      <c r="O45" t="str">
        <f t="shared" si="1"/>
        <v>Solid</v>
      </c>
    </row>
    <row r="46" spans="1:15" ht="14.4" x14ac:dyDescent="0.3">
      <c r="A46">
        <v>2713</v>
      </c>
      <c r="B46" t="s">
        <v>33</v>
      </c>
      <c r="C46" t="s">
        <v>24</v>
      </c>
      <c r="D46" t="s">
        <v>49</v>
      </c>
      <c r="E46" s="2" t="s">
        <v>26</v>
      </c>
      <c r="F46">
        <v>1</v>
      </c>
      <c r="G46">
        <v>7877.36</v>
      </c>
      <c r="H46">
        <v>0.55000000000000004</v>
      </c>
      <c r="I46">
        <v>3544.81</v>
      </c>
      <c r="J46" s="1">
        <v>45787</v>
      </c>
      <c r="K46" t="s">
        <v>21</v>
      </c>
      <c r="L46" t="s">
        <v>39</v>
      </c>
      <c r="M46">
        <v>3663.49</v>
      </c>
      <c r="N46" t="str">
        <f t="shared" si="0"/>
        <v>May</v>
      </c>
      <c r="O46" t="str">
        <f t="shared" si="1"/>
        <v>Solid</v>
      </c>
    </row>
    <row r="47" spans="1:15" ht="14.4" x14ac:dyDescent="0.3">
      <c r="A47">
        <v>2563</v>
      </c>
      <c r="B47" t="s">
        <v>33</v>
      </c>
      <c r="C47" t="s">
        <v>19</v>
      </c>
      <c r="D47" t="s">
        <v>35</v>
      </c>
      <c r="E47" s="2" t="s">
        <v>16</v>
      </c>
      <c r="F47">
        <v>2</v>
      </c>
      <c r="G47">
        <v>9443.35</v>
      </c>
      <c r="H47">
        <v>0.54</v>
      </c>
      <c r="I47">
        <v>8687.8799999999992</v>
      </c>
      <c r="J47" s="1">
        <v>45760</v>
      </c>
      <c r="K47" t="s">
        <v>21</v>
      </c>
      <c r="L47" t="s">
        <v>39</v>
      </c>
      <c r="M47">
        <v>2706.61</v>
      </c>
      <c r="N47" t="str">
        <f t="shared" si="0"/>
        <v>Apr</v>
      </c>
      <c r="O47" t="str">
        <f t="shared" si="1"/>
        <v>Solid</v>
      </c>
    </row>
    <row r="48" spans="1:15" ht="14.4" x14ac:dyDescent="0.3">
      <c r="A48">
        <v>2904</v>
      </c>
      <c r="B48" t="s">
        <v>18</v>
      </c>
      <c r="C48" t="s">
        <v>19</v>
      </c>
      <c r="D48" t="s">
        <v>20</v>
      </c>
      <c r="E48" s="2">
        <v>9</v>
      </c>
      <c r="F48">
        <v>2</v>
      </c>
      <c r="G48">
        <v>8644.67</v>
      </c>
      <c r="H48">
        <v>0.54</v>
      </c>
      <c r="I48">
        <v>7953.1</v>
      </c>
      <c r="J48" s="1">
        <v>45776</v>
      </c>
      <c r="K48" t="s">
        <v>17</v>
      </c>
      <c r="L48" t="s">
        <v>54</v>
      </c>
      <c r="M48">
        <v>2711.75</v>
      </c>
      <c r="N48" t="str">
        <f t="shared" si="0"/>
        <v>Apr</v>
      </c>
      <c r="O48" t="str">
        <f t="shared" si="1"/>
        <v>Solid</v>
      </c>
    </row>
    <row r="49" spans="1:15" ht="14.4" hidden="1" x14ac:dyDescent="0.3">
      <c r="A49">
        <v>3932</v>
      </c>
      <c r="B49" t="s">
        <v>13</v>
      </c>
      <c r="C49" t="s">
        <v>14</v>
      </c>
      <c r="D49" t="s">
        <v>15</v>
      </c>
      <c r="E49" s="2" t="s">
        <v>26</v>
      </c>
      <c r="F49">
        <v>4</v>
      </c>
      <c r="G49">
        <v>4520.97</v>
      </c>
      <c r="H49">
        <v>0.54</v>
      </c>
      <c r="I49">
        <v>8318.58</v>
      </c>
      <c r="J49" s="1">
        <v>45818</v>
      </c>
      <c r="K49" t="s">
        <v>21</v>
      </c>
      <c r="L49" t="s">
        <v>34</v>
      </c>
      <c r="M49">
        <v>1289.3599999999999</v>
      </c>
      <c r="N49" t="str">
        <f t="shared" si="0"/>
        <v>Jun</v>
      </c>
      <c r="O49" t="str">
        <f t="shared" si="1"/>
        <v>Solid</v>
      </c>
    </row>
    <row r="50" spans="1:15" ht="14.4" hidden="1" x14ac:dyDescent="0.3">
      <c r="A50">
        <v>3868</v>
      </c>
      <c r="B50" t="s">
        <v>18</v>
      </c>
      <c r="C50" t="s">
        <v>28</v>
      </c>
      <c r="D50" t="s">
        <v>42</v>
      </c>
      <c r="E50" s="2">
        <v>11</v>
      </c>
      <c r="F50">
        <v>0</v>
      </c>
      <c r="G50">
        <v>3554.76</v>
      </c>
      <c r="H50">
        <v>0.51</v>
      </c>
      <c r="I50">
        <v>0</v>
      </c>
      <c r="J50" s="1">
        <v>45774</v>
      </c>
      <c r="K50" t="s">
        <v>17</v>
      </c>
      <c r="L50" t="s">
        <v>34</v>
      </c>
      <c r="M50">
        <v>-593.5</v>
      </c>
      <c r="N50" t="str">
        <f t="shared" si="0"/>
        <v>Apr</v>
      </c>
      <c r="O50" t="str">
        <f t="shared" si="1"/>
        <v>Solid</v>
      </c>
    </row>
    <row r="51" spans="1:15" ht="14.4" hidden="1" x14ac:dyDescent="0.3">
      <c r="A51">
        <v>2369</v>
      </c>
      <c r="B51" t="s">
        <v>33</v>
      </c>
      <c r="C51" t="s">
        <v>37</v>
      </c>
      <c r="D51" t="s">
        <v>50</v>
      </c>
      <c r="E51" s="2" t="s">
        <v>30</v>
      </c>
      <c r="F51">
        <v>0</v>
      </c>
      <c r="G51">
        <v>4248.21</v>
      </c>
      <c r="H51">
        <v>0.5</v>
      </c>
      <c r="I51">
        <v>0</v>
      </c>
      <c r="J51" s="1">
        <v>45849</v>
      </c>
      <c r="K51" t="s">
        <v>17</v>
      </c>
      <c r="L51" t="s">
        <v>52</v>
      </c>
      <c r="M51">
        <v>2427.86</v>
      </c>
      <c r="N51" t="str">
        <f t="shared" si="0"/>
        <v>Jul</v>
      </c>
      <c r="O51" t="str">
        <f t="shared" si="1"/>
        <v>Solid</v>
      </c>
    </row>
    <row r="52" spans="1:15" ht="14.4" x14ac:dyDescent="0.3">
      <c r="A52">
        <v>3357</v>
      </c>
      <c r="B52" t="s">
        <v>13</v>
      </c>
      <c r="C52" t="s">
        <v>14</v>
      </c>
      <c r="D52" t="s">
        <v>32</v>
      </c>
      <c r="E52" s="2" t="s">
        <v>16</v>
      </c>
      <c r="F52">
        <v>4</v>
      </c>
      <c r="G52">
        <v>6206.45</v>
      </c>
      <c r="H52">
        <v>0.5</v>
      </c>
      <c r="I52">
        <v>12412.9</v>
      </c>
      <c r="J52" s="1">
        <v>45752</v>
      </c>
      <c r="K52" t="s">
        <v>17</v>
      </c>
      <c r="L52" t="s">
        <v>31</v>
      </c>
      <c r="M52">
        <v>678.42</v>
      </c>
      <c r="N52" t="str">
        <f t="shared" si="0"/>
        <v>Apr</v>
      </c>
      <c r="O52" t="str">
        <f t="shared" si="1"/>
        <v>Solid</v>
      </c>
    </row>
    <row r="53" spans="1:15" ht="14.4" x14ac:dyDescent="0.3">
      <c r="A53">
        <v>2071</v>
      </c>
      <c r="B53" t="s">
        <v>13</v>
      </c>
      <c r="C53" t="s">
        <v>24</v>
      </c>
      <c r="D53" t="s">
        <v>25</v>
      </c>
      <c r="E53" s="2" t="s">
        <v>16</v>
      </c>
      <c r="F53">
        <v>3</v>
      </c>
      <c r="G53">
        <v>7849.81</v>
      </c>
      <c r="H53">
        <v>0.49</v>
      </c>
      <c r="I53">
        <v>12010.21</v>
      </c>
      <c r="J53" s="1">
        <v>45669</v>
      </c>
      <c r="K53" t="s">
        <v>21</v>
      </c>
      <c r="L53" t="s">
        <v>27</v>
      </c>
      <c r="M53">
        <v>-882.96</v>
      </c>
      <c r="N53" t="str">
        <f t="shared" si="0"/>
        <v>Jan</v>
      </c>
      <c r="O53" t="str">
        <f t="shared" si="1"/>
        <v>Solid</v>
      </c>
    </row>
    <row r="54" spans="1:15" ht="14.4" x14ac:dyDescent="0.3">
      <c r="A54">
        <v>4127</v>
      </c>
      <c r="B54" t="s">
        <v>18</v>
      </c>
      <c r="C54" t="s">
        <v>28</v>
      </c>
      <c r="D54" t="s">
        <v>42</v>
      </c>
      <c r="E54" s="2" t="s">
        <v>26</v>
      </c>
      <c r="F54">
        <v>-1</v>
      </c>
      <c r="G54">
        <v>4690.1499999999996</v>
      </c>
      <c r="H54">
        <v>0.49</v>
      </c>
      <c r="I54">
        <v>-2391.98</v>
      </c>
      <c r="J54" s="1">
        <v>45647</v>
      </c>
      <c r="K54" t="s">
        <v>17</v>
      </c>
      <c r="L54" t="s">
        <v>39</v>
      </c>
      <c r="M54">
        <v>1331.92</v>
      </c>
      <c r="N54" t="str">
        <f t="shared" si="0"/>
        <v>Dec</v>
      </c>
      <c r="O54" t="str">
        <f t="shared" si="1"/>
        <v>Returned</v>
      </c>
    </row>
    <row r="55" spans="1:15" ht="14.4" x14ac:dyDescent="0.3">
      <c r="A55">
        <v>2150</v>
      </c>
      <c r="B55" t="s">
        <v>18</v>
      </c>
      <c r="C55" t="s">
        <v>37</v>
      </c>
      <c r="D55" t="s">
        <v>50</v>
      </c>
      <c r="E55" s="2" t="s">
        <v>16</v>
      </c>
      <c r="F55">
        <v>2</v>
      </c>
      <c r="G55">
        <v>3313.21</v>
      </c>
      <c r="H55">
        <v>0.48</v>
      </c>
      <c r="I55">
        <v>3445.74</v>
      </c>
      <c r="J55" s="1">
        <v>45844</v>
      </c>
      <c r="K55" t="s">
        <v>17</v>
      </c>
      <c r="L55" t="s">
        <v>54</v>
      </c>
      <c r="M55">
        <v>3221.62</v>
      </c>
      <c r="N55" t="str">
        <f t="shared" si="0"/>
        <v>Jul</v>
      </c>
      <c r="O55" t="str">
        <f t="shared" si="1"/>
        <v>Solid</v>
      </c>
    </row>
    <row r="56" spans="1:15" x14ac:dyDescent="0.3">
      <c r="A56">
        <v>2709</v>
      </c>
      <c r="B56" t="s">
        <v>13</v>
      </c>
      <c r="C56" t="s">
        <v>28</v>
      </c>
      <c r="D56" t="s">
        <v>42</v>
      </c>
      <c r="E56" s="2">
        <v>10</v>
      </c>
      <c r="F56">
        <v>1</v>
      </c>
      <c r="G56">
        <v>6302.98</v>
      </c>
      <c r="H56">
        <v>0.48</v>
      </c>
      <c r="I56">
        <v>3277.55</v>
      </c>
      <c r="J56" s="1">
        <v>45724</v>
      </c>
      <c r="K56" t="s">
        <v>21</v>
      </c>
      <c r="L56" t="s">
        <v>31</v>
      </c>
      <c r="M56">
        <v>2835.93</v>
      </c>
      <c r="N56" t="str">
        <f t="shared" si="0"/>
        <v>Mar</v>
      </c>
      <c r="O56" t="str">
        <f t="shared" si="1"/>
        <v>Solid</v>
      </c>
    </row>
    <row r="57" spans="1:15" ht="14.4" hidden="1" x14ac:dyDescent="0.3">
      <c r="A57">
        <v>3104</v>
      </c>
      <c r="B57" t="s">
        <v>33</v>
      </c>
      <c r="C57" t="s">
        <v>28</v>
      </c>
      <c r="D57" t="s">
        <v>42</v>
      </c>
      <c r="E57" s="2" t="s">
        <v>26</v>
      </c>
      <c r="F57">
        <v>0</v>
      </c>
      <c r="G57">
        <v>7734.26</v>
      </c>
      <c r="H57">
        <v>0.47</v>
      </c>
      <c r="I57">
        <v>0</v>
      </c>
      <c r="J57" s="1">
        <v>45697</v>
      </c>
      <c r="K57" t="s">
        <v>17</v>
      </c>
      <c r="L57" t="s">
        <v>34</v>
      </c>
      <c r="M57">
        <v>1921.82</v>
      </c>
      <c r="N57" t="str">
        <f t="shared" si="0"/>
        <v>Feb</v>
      </c>
      <c r="O57" t="str">
        <f t="shared" si="1"/>
        <v>Solid</v>
      </c>
    </row>
    <row r="58" spans="1:15" x14ac:dyDescent="0.3">
      <c r="A58">
        <v>3127</v>
      </c>
      <c r="B58" t="s">
        <v>33</v>
      </c>
      <c r="C58" t="s">
        <v>14</v>
      </c>
      <c r="D58" t="s">
        <v>45</v>
      </c>
      <c r="E58" s="2" t="s">
        <v>30</v>
      </c>
      <c r="F58">
        <v>1</v>
      </c>
      <c r="G58">
        <v>4614.33</v>
      </c>
      <c r="H58">
        <v>0.47</v>
      </c>
      <c r="I58">
        <v>2445.59</v>
      </c>
      <c r="J58" s="1">
        <v>45572</v>
      </c>
      <c r="K58" t="s">
        <v>17</v>
      </c>
      <c r="L58" t="s">
        <v>27</v>
      </c>
      <c r="M58">
        <v>-440.44</v>
      </c>
      <c r="N58" t="str">
        <f t="shared" si="0"/>
        <v>Oct</v>
      </c>
      <c r="O58" t="str">
        <f t="shared" si="1"/>
        <v>Solid</v>
      </c>
    </row>
    <row r="59" spans="1:15" x14ac:dyDescent="0.3">
      <c r="A59">
        <v>4088</v>
      </c>
      <c r="B59" t="s">
        <v>33</v>
      </c>
      <c r="C59" t="s">
        <v>14</v>
      </c>
      <c r="D59" t="s">
        <v>32</v>
      </c>
      <c r="E59" s="2" t="s">
        <v>16</v>
      </c>
      <c r="F59">
        <v>2</v>
      </c>
      <c r="G59">
        <v>5649.73</v>
      </c>
      <c r="H59">
        <v>0.41</v>
      </c>
      <c r="I59">
        <v>6666.68</v>
      </c>
      <c r="J59" s="1">
        <v>45732</v>
      </c>
      <c r="K59" t="s">
        <v>21</v>
      </c>
      <c r="L59" t="s">
        <v>23</v>
      </c>
      <c r="M59">
        <v>1548.1</v>
      </c>
      <c r="N59" t="str">
        <f t="shared" si="0"/>
        <v>Mar</v>
      </c>
      <c r="O59" t="str">
        <f t="shared" si="1"/>
        <v>Solid</v>
      </c>
    </row>
    <row r="60" spans="1:15" x14ac:dyDescent="0.3">
      <c r="A60">
        <v>4370</v>
      </c>
      <c r="B60" t="s">
        <v>18</v>
      </c>
      <c r="C60" t="s">
        <v>28</v>
      </c>
      <c r="D60" t="s">
        <v>47</v>
      </c>
      <c r="E60" s="2" t="s">
        <v>26</v>
      </c>
      <c r="F60">
        <v>2</v>
      </c>
      <c r="G60">
        <v>5046.05</v>
      </c>
      <c r="H60">
        <v>0.38</v>
      </c>
      <c r="I60">
        <v>6257.1</v>
      </c>
      <c r="J60" s="1">
        <v>45578</v>
      </c>
      <c r="K60" t="s">
        <v>21</v>
      </c>
      <c r="L60" t="s">
        <v>23</v>
      </c>
      <c r="M60">
        <v>2530.73</v>
      </c>
      <c r="N60" t="str">
        <f t="shared" si="0"/>
        <v>Oct</v>
      </c>
      <c r="O60" t="str">
        <f t="shared" si="1"/>
        <v>Solid</v>
      </c>
    </row>
    <row r="61" spans="1:15" x14ac:dyDescent="0.3">
      <c r="A61">
        <v>2460</v>
      </c>
      <c r="B61" t="s">
        <v>18</v>
      </c>
      <c r="C61" t="s">
        <v>37</v>
      </c>
      <c r="D61" t="s">
        <v>44</v>
      </c>
      <c r="E61" s="2" t="s">
        <v>30</v>
      </c>
      <c r="F61">
        <v>2</v>
      </c>
      <c r="G61">
        <v>5482.96</v>
      </c>
      <c r="H61">
        <v>0.35</v>
      </c>
      <c r="I61">
        <v>7127.85</v>
      </c>
      <c r="J61" s="1">
        <v>45600</v>
      </c>
      <c r="K61" t="s">
        <v>17</v>
      </c>
      <c r="L61" t="s">
        <v>39</v>
      </c>
      <c r="M61">
        <v>-823.8</v>
      </c>
      <c r="N61" t="str">
        <f t="shared" si="0"/>
        <v>Nov</v>
      </c>
      <c r="O61" t="str">
        <f t="shared" si="1"/>
        <v>Solid</v>
      </c>
    </row>
    <row r="62" spans="1:15" x14ac:dyDescent="0.3">
      <c r="A62">
        <v>3698</v>
      </c>
      <c r="B62" t="s">
        <v>18</v>
      </c>
      <c r="C62" t="s">
        <v>37</v>
      </c>
      <c r="D62" t="s">
        <v>44</v>
      </c>
      <c r="E62" s="2" t="s">
        <v>26</v>
      </c>
      <c r="F62">
        <v>0</v>
      </c>
      <c r="G62">
        <v>7268.55</v>
      </c>
      <c r="H62">
        <v>0.34</v>
      </c>
      <c r="I62">
        <v>0</v>
      </c>
      <c r="J62" s="1">
        <v>45706</v>
      </c>
      <c r="K62" t="s">
        <v>21</v>
      </c>
      <c r="L62" t="s">
        <v>31</v>
      </c>
      <c r="M62">
        <v>219.99</v>
      </c>
      <c r="N62" t="str">
        <f t="shared" si="0"/>
        <v>Feb</v>
      </c>
      <c r="O62" t="str">
        <f t="shared" si="1"/>
        <v>Solid</v>
      </c>
    </row>
    <row r="63" spans="1:15" x14ac:dyDescent="0.3">
      <c r="A63">
        <v>3189</v>
      </c>
      <c r="B63" t="s">
        <v>33</v>
      </c>
      <c r="C63" t="s">
        <v>37</v>
      </c>
      <c r="D63" t="s">
        <v>50</v>
      </c>
      <c r="E63" s="2" t="s">
        <v>26</v>
      </c>
      <c r="F63">
        <v>3</v>
      </c>
      <c r="G63">
        <v>6730.48</v>
      </c>
      <c r="H63">
        <v>0.33</v>
      </c>
      <c r="I63">
        <v>13528.26</v>
      </c>
      <c r="J63" s="1">
        <v>45696</v>
      </c>
      <c r="K63" t="s">
        <v>17</v>
      </c>
      <c r="L63" t="s">
        <v>39</v>
      </c>
      <c r="M63">
        <v>1456.87</v>
      </c>
      <c r="N63" t="str">
        <f t="shared" si="0"/>
        <v>Feb</v>
      </c>
      <c r="O63" t="str">
        <f t="shared" si="1"/>
        <v>Solid</v>
      </c>
    </row>
    <row r="64" spans="1:15" ht="14.4" hidden="1" x14ac:dyDescent="0.3">
      <c r="A64">
        <v>2019</v>
      </c>
      <c r="B64" t="s">
        <v>13</v>
      </c>
      <c r="C64" t="s">
        <v>28</v>
      </c>
      <c r="D64" t="s">
        <v>41</v>
      </c>
      <c r="E64" s="2">
        <v>6</v>
      </c>
      <c r="F64">
        <v>0</v>
      </c>
      <c r="G64">
        <v>3424.06</v>
      </c>
      <c r="H64">
        <v>0.32</v>
      </c>
      <c r="I64">
        <v>0</v>
      </c>
      <c r="J64" s="1">
        <v>45674</v>
      </c>
      <c r="K64" t="s">
        <v>17</v>
      </c>
      <c r="L64" t="s">
        <v>52</v>
      </c>
      <c r="M64">
        <v>1915.24</v>
      </c>
      <c r="N64" t="str">
        <f t="shared" si="0"/>
        <v>Jan</v>
      </c>
      <c r="O64" t="str">
        <f t="shared" si="1"/>
        <v>Solid</v>
      </c>
    </row>
    <row r="65" spans="1:15" x14ac:dyDescent="0.3">
      <c r="A65">
        <v>2496</v>
      </c>
      <c r="B65" t="s">
        <v>13</v>
      </c>
      <c r="C65" t="s">
        <v>28</v>
      </c>
      <c r="D65" t="s">
        <v>29</v>
      </c>
      <c r="E65" s="2" t="s">
        <v>16</v>
      </c>
      <c r="F65">
        <v>2</v>
      </c>
      <c r="G65">
        <v>4110.72</v>
      </c>
      <c r="H65">
        <v>0.32</v>
      </c>
      <c r="I65">
        <v>5590.58</v>
      </c>
      <c r="J65" s="1">
        <v>45650</v>
      </c>
      <c r="K65" t="s">
        <v>21</v>
      </c>
      <c r="L65" t="s">
        <v>54</v>
      </c>
      <c r="M65">
        <v>3894.95</v>
      </c>
      <c r="N65" t="str">
        <f t="shared" ref="N65:N103" si="2">TEXT(J65,"mmm")</f>
        <v>Dec</v>
      </c>
      <c r="O65" t="str">
        <f t="shared" ref="O65:O103" si="3">IF(F65&lt;0,"Returned","Solid")</f>
        <v>Solid</v>
      </c>
    </row>
    <row r="66" spans="1:15" x14ac:dyDescent="0.3">
      <c r="A66">
        <v>3672</v>
      </c>
      <c r="B66" t="s">
        <v>18</v>
      </c>
      <c r="C66" t="s">
        <v>19</v>
      </c>
      <c r="D66" t="s">
        <v>20</v>
      </c>
      <c r="E66" s="2">
        <v>7</v>
      </c>
      <c r="F66">
        <v>3</v>
      </c>
      <c r="G66">
        <v>7127.18</v>
      </c>
      <c r="H66">
        <v>0.32</v>
      </c>
      <c r="I66">
        <v>14539.45</v>
      </c>
      <c r="J66" s="1">
        <v>45520</v>
      </c>
      <c r="K66" t="s">
        <v>17</v>
      </c>
      <c r="L66" t="s">
        <v>31</v>
      </c>
      <c r="M66">
        <v>2651.63</v>
      </c>
      <c r="N66" t="str">
        <f t="shared" si="2"/>
        <v>Aug</v>
      </c>
      <c r="O66" t="str">
        <f t="shared" si="3"/>
        <v>Solid</v>
      </c>
    </row>
    <row r="67" spans="1:15" x14ac:dyDescent="0.3">
      <c r="A67">
        <v>4326</v>
      </c>
      <c r="B67" t="s">
        <v>18</v>
      </c>
      <c r="C67" t="s">
        <v>24</v>
      </c>
      <c r="D67" t="s">
        <v>49</v>
      </c>
      <c r="E67" s="2" t="s">
        <v>30</v>
      </c>
      <c r="F67">
        <v>0</v>
      </c>
      <c r="G67">
        <v>9604.84</v>
      </c>
      <c r="H67">
        <v>0.31</v>
      </c>
      <c r="I67">
        <v>0</v>
      </c>
      <c r="J67" s="1">
        <v>45449</v>
      </c>
      <c r="K67" t="s">
        <v>21</v>
      </c>
      <c r="L67" t="s">
        <v>31</v>
      </c>
      <c r="M67">
        <v>-143.11000000000001</v>
      </c>
      <c r="N67" t="str">
        <f t="shared" si="2"/>
        <v>Jun</v>
      </c>
      <c r="O67" t="str">
        <f t="shared" si="3"/>
        <v>Solid</v>
      </c>
    </row>
    <row r="68" spans="1:15" x14ac:dyDescent="0.3">
      <c r="A68">
        <v>3409</v>
      </c>
      <c r="B68" t="s">
        <v>13</v>
      </c>
      <c r="C68" t="s">
        <v>28</v>
      </c>
      <c r="D68" t="s">
        <v>41</v>
      </c>
      <c r="E68" s="2" t="s">
        <v>16</v>
      </c>
      <c r="F68">
        <v>1</v>
      </c>
      <c r="G68">
        <v>6312.01</v>
      </c>
      <c r="H68">
        <v>0.3</v>
      </c>
      <c r="I68">
        <v>4418.41</v>
      </c>
      <c r="J68" s="1">
        <v>45543</v>
      </c>
      <c r="K68" t="s">
        <v>21</v>
      </c>
      <c r="L68" t="s">
        <v>31</v>
      </c>
      <c r="M68">
        <v>-1106.07</v>
      </c>
      <c r="N68" t="str">
        <f t="shared" si="2"/>
        <v>Sep</v>
      </c>
      <c r="O68" t="str">
        <f t="shared" si="3"/>
        <v>Solid</v>
      </c>
    </row>
    <row r="69" spans="1:15" x14ac:dyDescent="0.3">
      <c r="A69">
        <v>2328</v>
      </c>
      <c r="B69" t="s">
        <v>33</v>
      </c>
      <c r="C69" t="s">
        <v>24</v>
      </c>
      <c r="D69" t="s">
        <v>36</v>
      </c>
      <c r="E69" s="2">
        <v>6</v>
      </c>
      <c r="F69">
        <v>2</v>
      </c>
      <c r="G69">
        <v>6449.46</v>
      </c>
      <c r="H69">
        <v>0.28999999999999998</v>
      </c>
      <c r="I69">
        <v>9158.23</v>
      </c>
      <c r="J69" s="1">
        <v>45605</v>
      </c>
      <c r="K69" t="s">
        <v>17</v>
      </c>
      <c r="L69" t="s">
        <v>23</v>
      </c>
      <c r="M69">
        <v>39.69</v>
      </c>
      <c r="N69" t="str">
        <f t="shared" si="2"/>
        <v>Nov</v>
      </c>
      <c r="O69" t="str">
        <f t="shared" si="3"/>
        <v>Solid</v>
      </c>
    </row>
    <row r="70" spans="1:15" x14ac:dyDescent="0.3">
      <c r="A70">
        <v>2936</v>
      </c>
      <c r="B70" t="s">
        <v>18</v>
      </c>
      <c r="C70" t="s">
        <v>14</v>
      </c>
      <c r="D70" t="s">
        <v>32</v>
      </c>
      <c r="E70" s="2" t="s">
        <v>30</v>
      </c>
      <c r="F70">
        <v>1</v>
      </c>
      <c r="G70">
        <v>6496.58</v>
      </c>
      <c r="H70">
        <v>0.28999999999999998</v>
      </c>
      <c r="I70">
        <v>4612.57</v>
      </c>
      <c r="J70" s="1">
        <v>45504</v>
      </c>
      <c r="K70" t="s">
        <v>21</v>
      </c>
      <c r="L70" t="s">
        <v>27</v>
      </c>
      <c r="M70">
        <v>1933.1</v>
      </c>
      <c r="N70" t="str">
        <f t="shared" si="2"/>
        <v>Jul</v>
      </c>
      <c r="O70" t="str">
        <f t="shared" si="3"/>
        <v>Solid</v>
      </c>
    </row>
    <row r="71" spans="1:15" x14ac:dyDescent="0.3">
      <c r="A71">
        <v>3165</v>
      </c>
      <c r="B71" t="s">
        <v>18</v>
      </c>
      <c r="C71" t="s">
        <v>19</v>
      </c>
      <c r="D71" t="s">
        <v>46</v>
      </c>
      <c r="E71" s="2" t="s">
        <v>30</v>
      </c>
      <c r="F71">
        <v>2</v>
      </c>
      <c r="G71">
        <v>2530.29</v>
      </c>
      <c r="H71">
        <v>0.28999999999999998</v>
      </c>
      <c r="I71">
        <v>3593.01</v>
      </c>
      <c r="J71" s="1">
        <v>45705</v>
      </c>
      <c r="K71" t="s">
        <v>17</v>
      </c>
      <c r="L71" t="s">
        <v>39</v>
      </c>
      <c r="M71">
        <v>3264.03</v>
      </c>
      <c r="N71" t="str">
        <f t="shared" si="2"/>
        <v>Feb</v>
      </c>
      <c r="O71" t="str">
        <f t="shared" si="3"/>
        <v>Solid</v>
      </c>
    </row>
    <row r="72" spans="1:15" x14ac:dyDescent="0.3">
      <c r="A72">
        <v>4400</v>
      </c>
      <c r="B72" t="s">
        <v>18</v>
      </c>
      <c r="C72" t="s">
        <v>24</v>
      </c>
      <c r="D72" t="s">
        <v>49</v>
      </c>
      <c r="E72" s="2" t="s">
        <v>16</v>
      </c>
      <c r="F72">
        <v>4</v>
      </c>
      <c r="G72">
        <v>7798.57</v>
      </c>
      <c r="H72">
        <v>0.28000000000000003</v>
      </c>
      <c r="I72">
        <v>22459.88</v>
      </c>
      <c r="J72" s="1">
        <v>45804</v>
      </c>
      <c r="K72" t="s">
        <v>21</v>
      </c>
      <c r="L72" t="s">
        <v>39</v>
      </c>
      <c r="M72">
        <v>1334.4</v>
      </c>
      <c r="N72" t="str">
        <f t="shared" si="2"/>
        <v>May</v>
      </c>
      <c r="O72" t="str">
        <f t="shared" si="3"/>
        <v>Solid</v>
      </c>
    </row>
    <row r="73" spans="1:15" x14ac:dyDescent="0.3">
      <c r="A73">
        <v>4446</v>
      </c>
      <c r="B73" t="s">
        <v>33</v>
      </c>
      <c r="C73" t="s">
        <v>19</v>
      </c>
      <c r="D73" t="s">
        <v>35</v>
      </c>
      <c r="E73" s="2" t="s">
        <v>16</v>
      </c>
      <c r="F73">
        <v>2</v>
      </c>
      <c r="G73">
        <v>3469.31</v>
      </c>
      <c r="H73">
        <v>0.28000000000000003</v>
      </c>
      <c r="I73">
        <v>4995.8100000000004</v>
      </c>
      <c r="J73" s="1">
        <v>45683</v>
      </c>
      <c r="K73" t="s">
        <v>21</v>
      </c>
      <c r="L73" t="s">
        <v>27</v>
      </c>
      <c r="M73">
        <v>2671.58</v>
      </c>
      <c r="N73" t="str">
        <f t="shared" si="2"/>
        <v>Jan</v>
      </c>
      <c r="O73" t="str">
        <f t="shared" si="3"/>
        <v>Solid</v>
      </c>
    </row>
    <row r="74" spans="1:15" x14ac:dyDescent="0.3">
      <c r="A74">
        <v>3755</v>
      </c>
      <c r="B74" t="s">
        <v>18</v>
      </c>
      <c r="C74" t="s">
        <v>19</v>
      </c>
      <c r="D74" t="s">
        <v>46</v>
      </c>
      <c r="E74" s="2">
        <v>8</v>
      </c>
      <c r="F74">
        <v>4</v>
      </c>
      <c r="G74">
        <v>2342.16</v>
      </c>
      <c r="H74">
        <v>0.25</v>
      </c>
      <c r="I74">
        <v>7026.48</v>
      </c>
      <c r="J74" s="1">
        <v>45767</v>
      </c>
      <c r="K74" t="s">
        <v>21</v>
      </c>
      <c r="L74" t="s">
        <v>23</v>
      </c>
      <c r="M74">
        <v>1007</v>
      </c>
      <c r="N74" t="str">
        <f t="shared" si="2"/>
        <v>Apr</v>
      </c>
      <c r="O74" t="str">
        <f t="shared" si="3"/>
        <v>Solid</v>
      </c>
    </row>
    <row r="75" spans="1:15" x14ac:dyDescent="0.3">
      <c r="A75">
        <v>2248</v>
      </c>
      <c r="B75" t="s">
        <v>33</v>
      </c>
      <c r="C75" t="s">
        <v>14</v>
      </c>
      <c r="D75" t="s">
        <v>40</v>
      </c>
      <c r="E75" s="2" t="s">
        <v>16</v>
      </c>
      <c r="F75">
        <v>4</v>
      </c>
      <c r="G75">
        <v>8249.9599999999991</v>
      </c>
      <c r="H75">
        <v>0.24</v>
      </c>
      <c r="I75">
        <v>25079.88</v>
      </c>
      <c r="J75" s="1">
        <v>45307</v>
      </c>
      <c r="K75" t="s">
        <v>17</v>
      </c>
      <c r="L75" t="s">
        <v>54</v>
      </c>
      <c r="M75">
        <v>1625.14</v>
      </c>
      <c r="N75" t="str">
        <f t="shared" si="2"/>
        <v>Jan</v>
      </c>
      <c r="O75" t="str">
        <f t="shared" si="3"/>
        <v>Solid</v>
      </c>
    </row>
    <row r="76" spans="1:15" ht="14.4" hidden="1" x14ac:dyDescent="0.3">
      <c r="A76">
        <v>3428</v>
      </c>
      <c r="B76" t="s">
        <v>18</v>
      </c>
      <c r="C76" t="s">
        <v>37</v>
      </c>
      <c r="D76" t="s">
        <v>38</v>
      </c>
      <c r="E76" s="2">
        <v>6</v>
      </c>
      <c r="F76">
        <v>1</v>
      </c>
      <c r="G76">
        <v>2825.86</v>
      </c>
      <c r="H76">
        <v>0.23</v>
      </c>
      <c r="I76">
        <v>2175.91</v>
      </c>
      <c r="J76" s="1">
        <v>45629</v>
      </c>
      <c r="K76" t="s">
        <v>17</v>
      </c>
      <c r="L76" t="s">
        <v>34</v>
      </c>
      <c r="M76">
        <v>625.29999999999995</v>
      </c>
      <c r="N76" t="str">
        <f t="shared" si="2"/>
        <v>Dec</v>
      </c>
      <c r="O76" t="str">
        <f t="shared" si="3"/>
        <v>Solid</v>
      </c>
    </row>
    <row r="77" spans="1:15" x14ac:dyDescent="0.3">
      <c r="A77">
        <v>2003</v>
      </c>
      <c r="B77" t="s">
        <v>18</v>
      </c>
      <c r="C77" t="s">
        <v>24</v>
      </c>
      <c r="D77" t="s">
        <v>36</v>
      </c>
      <c r="E77" s="2" t="s">
        <v>30</v>
      </c>
      <c r="F77">
        <v>2</v>
      </c>
      <c r="G77">
        <v>8516.4500000000007</v>
      </c>
      <c r="H77">
        <v>0.22</v>
      </c>
      <c r="I77">
        <v>13285.66</v>
      </c>
      <c r="J77" s="1">
        <v>45199</v>
      </c>
      <c r="K77" t="s">
        <v>17</v>
      </c>
      <c r="L77" t="s">
        <v>39</v>
      </c>
      <c r="M77">
        <v>1764.52</v>
      </c>
      <c r="N77" t="str">
        <f t="shared" si="2"/>
        <v>Sep</v>
      </c>
      <c r="O77" t="str">
        <f t="shared" si="3"/>
        <v>Solid</v>
      </c>
    </row>
    <row r="78" spans="1:15" x14ac:dyDescent="0.3">
      <c r="A78">
        <v>3217</v>
      </c>
      <c r="B78" t="s">
        <v>33</v>
      </c>
      <c r="C78" t="s">
        <v>19</v>
      </c>
      <c r="D78" t="s">
        <v>20</v>
      </c>
      <c r="E78" s="2">
        <v>6</v>
      </c>
      <c r="F78">
        <v>1</v>
      </c>
      <c r="G78">
        <v>4819.75</v>
      </c>
      <c r="H78">
        <v>0.22</v>
      </c>
      <c r="I78">
        <v>3759.41</v>
      </c>
      <c r="J78" s="1">
        <v>45703</v>
      </c>
      <c r="K78" t="s">
        <v>21</v>
      </c>
      <c r="L78" t="s">
        <v>27</v>
      </c>
      <c r="M78">
        <v>-514.9</v>
      </c>
      <c r="N78" t="str">
        <f t="shared" si="2"/>
        <v>Feb</v>
      </c>
      <c r="O78" t="str">
        <f t="shared" si="3"/>
        <v>Solid</v>
      </c>
    </row>
    <row r="79" spans="1:15" x14ac:dyDescent="0.3">
      <c r="A79">
        <v>3722</v>
      </c>
      <c r="B79" t="s">
        <v>13</v>
      </c>
      <c r="C79" t="s">
        <v>14</v>
      </c>
      <c r="D79" t="s">
        <v>45</v>
      </c>
      <c r="E79" s="2">
        <v>7</v>
      </c>
      <c r="F79">
        <v>1</v>
      </c>
      <c r="G79">
        <v>9335</v>
      </c>
      <c r="H79">
        <v>0.22</v>
      </c>
      <c r="I79">
        <v>7281.3</v>
      </c>
      <c r="J79" s="1">
        <v>45251</v>
      </c>
      <c r="K79" t="s">
        <v>21</v>
      </c>
      <c r="L79" t="s">
        <v>23</v>
      </c>
      <c r="M79">
        <v>1787.45</v>
      </c>
      <c r="N79" t="str">
        <f t="shared" si="2"/>
        <v>Nov</v>
      </c>
      <c r="O79" t="str">
        <f t="shared" si="3"/>
        <v>Solid</v>
      </c>
    </row>
    <row r="80" spans="1:15" x14ac:dyDescent="0.3">
      <c r="A80">
        <v>2535</v>
      </c>
      <c r="B80" t="s">
        <v>33</v>
      </c>
      <c r="C80" t="s">
        <v>19</v>
      </c>
      <c r="D80" t="s">
        <v>20</v>
      </c>
      <c r="E80" s="2" t="s">
        <v>30</v>
      </c>
      <c r="F80">
        <v>2</v>
      </c>
      <c r="G80">
        <v>2786.84</v>
      </c>
      <c r="H80">
        <v>0.21</v>
      </c>
      <c r="I80">
        <v>4403.21</v>
      </c>
      <c r="J80" s="1">
        <v>45682</v>
      </c>
      <c r="K80" t="s">
        <v>17</v>
      </c>
      <c r="L80" t="s">
        <v>23</v>
      </c>
      <c r="M80">
        <v>3345.36</v>
      </c>
      <c r="N80" t="str">
        <f t="shared" si="2"/>
        <v>Jan</v>
      </c>
      <c r="O80" t="str">
        <f t="shared" si="3"/>
        <v>Solid</v>
      </c>
    </row>
    <row r="81" spans="1:15" x14ac:dyDescent="0.3">
      <c r="A81">
        <v>3977</v>
      </c>
      <c r="B81" t="s">
        <v>33</v>
      </c>
      <c r="C81" t="s">
        <v>19</v>
      </c>
      <c r="D81" t="s">
        <v>35</v>
      </c>
      <c r="E81" s="2" t="s">
        <v>26</v>
      </c>
      <c r="F81">
        <v>0</v>
      </c>
      <c r="G81">
        <v>7483.74</v>
      </c>
      <c r="H81">
        <v>0.21</v>
      </c>
      <c r="I81">
        <v>0</v>
      </c>
      <c r="J81" s="1">
        <v>45788</v>
      </c>
      <c r="K81" t="s">
        <v>17</v>
      </c>
      <c r="L81" t="s">
        <v>31</v>
      </c>
      <c r="M81">
        <v>2545.4899999999998</v>
      </c>
      <c r="N81" t="str">
        <f t="shared" si="2"/>
        <v>May</v>
      </c>
      <c r="O81" t="str">
        <f t="shared" si="3"/>
        <v>Solid</v>
      </c>
    </row>
    <row r="82" spans="1:15" x14ac:dyDescent="0.3">
      <c r="A82">
        <v>3741</v>
      </c>
      <c r="B82" t="s">
        <v>13</v>
      </c>
      <c r="C82" t="s">
        <v>24</v>
      </c>
      <c r="D82" t="s">
        <v>49</v>
      </c>
      <c r="E82" s="2" t="s">
        <v>26</v>
      </c>
      <c r="F82">
        <v>2</v>
      </c>
      <c r="G82">
        <v>8927.2199999999993</v>
      </c>
      <c r="H82">
        <v>0.2</v>
      </c>
      <c r="I82">
        <v>14283.55</v>
      </c>
      <c r="J82" s="1">
        <v>45851</v>
      </c>
      <c r="K82" t="s">
        <v>21</v>
      </c>
      <c r="L82" t="s">
        <v>39</v>
      </c>
      <c r="M82">
        <v>821.32</v>
      </c>
      <c r="N82" t="str">
        <f t="shared" si="2"/>
        <v>Jul</v>
      </c>
      <c r="O82" t="str">
        <f t="shared" si="3"/>
        <v>Solid</v>
      </c>
    </row>
    <row r="83" spans="1:15" x14ac:dyDescent="0.3">
      <c r="A83">
        <v>4108</v>
      </c>
      <c r="B83" t="s">
        <v>13</v>
      </c>
      <c r="C83" t="s">
        <v>28</v>
      </c>
      <c r="D83" t="s">
        <v>47</v>
      </c>
      <c r="E83" s="2" t="s">
        <v>26</v>
      </c>
      <c r="F83">
        <v>2</v>
      </c>
      <c r="G83">
        <v>2767.55</v>
      </c>
      <c r="H83">
        <v>0.19</v>
      </c>
      <c r="I83">
        <v>4483.43</v>
      </c>
      <c r="J83" s="1">
        <v>45255</v>
      </c>
      <c r="K83" t="s">
        <v>17</v>
      </c>
      <c r="L83" t="s">
        <v>39</v>
      </c>
      <c r="M83">
        <v>1059.07</v>
      </c>
      <c r="N83" t="str">
        <f t="shared" si="2"/>
        <v>Nov</v>
      </c>
      <c r="O83" t="str">
        <f t="shared" si="3"/>
        <v>Solid</v>
      </c>
    </row>
    <row r="84" spans="1:15" x14ac:dyDescent="0.3">
      <c r="A84">
        <v>3273</v>
      </c>
      <c r="B84" t="s">
        <v>18</v>
      </c>
      <c r="C84" t="s">
        <v>19</v>
      </c>
      <c r="D84" t="s">
        <v>46</v>
      </c>
      <c r="E84" s="2" t="s">
        <v>16</v>
      </c>
      <c r="F84">
        <v>-1</v>
      </c>
      <c r="G84">
        <v>5527.7</v>
      </c>
      <c r="H84">
        <v>0.17</v>
      </c>
      <c r="I84">
        <v>-4587.99</v>
      </c>
      <c r="J84" s="1">
        <v>45326</v>
      </c>
      <c r="K84" t="s">
        <v>17</v>
      </c>
      <c r="L84" t="s">
        <v>54</v>
      </c>
      <c r="M84">
        <v>2577.59</v>
      </c>
      <c r="N84" t="str">
        <f t="shared" si="2"/>
        <v>Feb</v>
      </c>
      <c r="O84" t="str">
        <f t="shared" si="3"/>
        <v>Returned</v>
      </c>
    </row>
    <row r="85" spans="1:15" x14ac:dyDescent="0.3">
      <c r="A85">
        <v>2063</v>
      </c>
      <c r="B85" t="s">
        <v>18</v>
      </c>
      <c r="C85" t="s">
        <v>37</v>
      </c>
      <c r="D85" t="s">
        <v>38</v>
      </c>
      <c r="E85" s="2" t="s">
        <v>16</v>
      </c>
      <c r="F85">
        <v>1</v>
      </c>
      <c r="G85">
        <v>9751</v>
      </c>
      <c r="H85">
        <v>0.16</v>
      </c>
      <c r="I85">
        <v>8190.84</v>
      </c>
      <c r="J85" s="1">
        <v>45541</v>
      </c>
      <c r="K85" t="s">
        <v>21</v>
      </c>
      <c r="L85" t="s">
        <v>27</v>
      </c>
      <c r="M85">
        <v>1130.31</v>
      </c>
      <c r="N85" t="str">
        <f t="shared" si="2"/>
        <v>Sep</v>
      </c>
      <c r="O85" t="str">
        <f t="shared" si="3"/>
        <v>Solid</v>
      </c>
    </row>
    <row r="86" spans="1:15" x14ac:dyDescent="0.3">
      <c r="A86">
        <v>4310</v>
      </c>
      <c r="B86" t="s">
        <v>13</v>
      </c>
      <c r="C86" t="s">
        <v>37</v>
      </c>
      <c r="D86" t="s">
        <v>44</v>
      </c>
      <c r="E86" s="2" t="s">
        <v>30</v>
      </c>
      <c r="F86">
        <v>0</v>
      </c>
      <c r="G86">
        <v>9745.69</v>
      </c>
      <c r="H86">
        <v>0.16</v>
      </c>
      <c r="I86">
        <v>0</v>
      </c>
      <c r="J86" s="1">
        <v>45825</v>
      </c>
      <c r="K86" t="s">
        <v>21</v>
      </c>
      <c r="L86" t="s">
        <v>31</v>
      </c>
      <c r="M86">
        <v>138.5</v>
      </c>
      <c r="N86" t="str">
        <f t="shared" si="2"/>
        <v>Jun</v>
      </c>
      <c r="O86" t="str">
        <f t="shared" si="3"/>
        <v>Solid</v>
      </c>
    </row>
    <row r="87" spans="1:15" ht="14.4" hidden="1" x14ac:dyDescent="0.3">
      <c r="A87">
        <v>3274</v>
      </c>
      <c r="B87" t="s">
        <v>33</v>
      </c>
      <c r="C87" t="s">
        <v>14</v>
      </c>
      <c r="D87" t="s">
        <v>15</v>
      </c>
      <c r="E87" s="2" t="s">
        <v>26</v>
      </c>
      <c r="F87">
        <v>3</v>
      </c>
      <c r="G87">
        <v>6031.14</v>
      </c>
      <c r="H87">
        <v>0.15</v>
      </c>
      <c r="I87">
        <v>15379.41</v>
      </c>
      <c r="J87" s="1">
        <v>45780</v>
      </c>
      <c r="K87" t="s">
        <v>21</v>
      </c>
      <c r="L87" t="s">
        <v>53</v>
      </c>
      <c r="M87">
        <v>169.05</v>
      </c>
      <c r="N87" t="str">
        <f t="shared" si="2"/>
        <v>May</v>
      </c>
      <c r="O87" t="str">
        <f t="shared" si="3"/>
        <v>Solid</v>
      </c>
    </row>
    <row r="88" spans="1:15" x14ac:dyDescent="0.3">
      <c r="A88">
        <v>3761</v>
      </c>
      <c r="B88" t="s">
        <v>18</v>
      </c>
      <c r="C88" t="s">
        <v>37</v>
      </c>
      <c r="D88" t="s">
        <v>44</v>
      </c>
      <c r="E88" s="2" t="s">
        <v>26</v>
      </c>
      <c r="F88">
        <v>4</v>
      </c>
      <c r="G88">
        <v>2972.38</v>
      </c>
      <c r="H88">
        <v>0.14000000000000001</v>
      </c>
      <c r="I88">
        <v>10224.99</v>
      </c>
      <c r="J88" s="1">
        <v>45614</v>
      </c>
      <c r="K88" t="s">
        <v>17</v>
      </c>
      <c r="L88" t="s">
        <v>51</v>
      </c>
      <c r="M88">
        <v>2569.7399999999998</v>
      </c>
      <c r="N88" t="str">
        <f t="shared" si="2"/>
        <v>Nov</v>
      </c>
      <c r="O88" t="str">
        <f t="shared" si="3"/>
        <v>Solid</v>
      </c>
    </row>
    <row r="89" spans="1:15" ht="14.4" hidden="1" x14ac:dyDescent="0.3">
      <c r="A89">
        <v>3906</v>
      </c>
      <c r="B89" t="s">
        <v>33</v>
      </c>
      <c r="C89" t="s">
        <v>24</v>
      </c>
      <c r="D89" t="s">
        <v>48</v>
      </c>
      <c r="E89" s="2" t="s">
        <v>30</v>
      </c>
      <c r="F89">
        <v>4</v>
      </c>
      <c r="G89">
        <v>7588.77</v>
      </c>
      <c r="H89">
        <v>0.14000000000000001</v>
      </c>
      <c r="I89">
        <v>26105.37</v>
      </c>
      <c r="J89" s="1">
        <v>45539</v>
      </c>
      <c r="K89" t="s">
        <v>17</v>
      </c>
      <c r="L89" t="s">
        <v>53</v>
      </c>
      <c r="M89">
        <v>3435.73</v>
      </c>
      <c r="N89" t="str">
        <f t="shared" si="2"/>
        <v>Sep</v>
      </c>
      <c r="O89" t="str">
        <f t="shared" si="3"/>
        <v>Solid</v>
      </c>
    </row>
    <row r="90" spans="1:15" x14ac:dyDescent="0.3">
      <c r="A90">
        <v>2615</v>
      </c>
      <c r="B90" t="s">
        <v>18</v>
      </c>
      <c r="C90" t="s">
        <v>19</v>
      </c>
      <c r="D90" t="s">
        <v>46</v>
      </c>
      <c r="E90" s="2" t="s">
        <v>30</v>
      </c>
      <c r="F90">
        <v>3</v>
      </c>
      <c r="G90">
        <v>3042.37</v>
      </c>
      <c r="H90">
        <v>0.12</v>
      </c>
      <c r="I90">
        <v>8031.86</v>
      </c>
      <c r="J90" s="1">
        <v>45740</v>
      </c>
      <c r="K90" t="s">
        <v>17</v>
      </c>
      <c r="L90" t="s">
        <v>27</v>
      </c>
      <c r="M90">
        <v>2105.48</v>
      </c>
      <c r="N90" t="str">
        <f t="shared" si="2"/>
        <v>Mar</v>
      </c>
      <c r="O90" t="str">
        <f t="shared" si="3"/>
        <v>Solid</v>
      </c>
    </row>
    <row r="91" spans="1:15" x14ac:dyDescent="0.3">
      <c r="A91">
        <v>4445</v>
      </c>
      <c r="B91" t="s">
        <v>18</v>
      </c>
      <c r="C91" t="s">
        <v>14</v>
      </c>
      <c r="D91" t="s">
        <v>40</v>
      </c>
      <c r="E91" s="2" t="s">
        <v>30</v>
      </c>
      <c r="F91">
        <v>1</v>
      </c>
      <c r="G91">
        <v>5915.27</v>
      </c>
      <c r="H91">
        <v>0.12</v>
      </c>
      <c r="I91">
        <v>5205.4399999999996</v>
      </c>
      <c r="J91" s="1">
        <v>45641</v>
      </c>
      <c r="K91" t="s">
        <v>21</v>
      </c>
      <c r="L91" t="s">
        <v>23</v>
      </c>
      <c r="M91">
        <v>3456.95</v>
      </c>
      <c r="N91" t="str">
        <f t="shared" si="2"/>
        <v>Dec</v>
      </c>
      <c r="O91" t="str">
        <f t="shared" si="3"/>
        <v>Solid</v>
      </c>
    </row>
    <row r="92" spans="1:15" x14ac:dyDescent="0.3">
      <c r="A92">
        <v>2019</v>
      </c>
      <c r="B92" t="s">
        <v>33</v>
      </c>
      <c r="C92" t="s">
        <v>24</v>
      </c>
      <c r="D92" t="s">
        <v>49</v>
      </c>
      <c r="E92" s="2" t="s">
        <v>26</v>
      </c>
      <c r="F92">
        <v>-1</v>
      </c>
      <c r="G92">
        <v>2452.52</v>
      </c>
      <c r="H92">
        <v>0.12</v>
      </c>
      <c r="I92">
        <v>-2158.2199999999998</v>
      </c>
      <c r="J92" s="1">
        <v>45499</v>
      </c>
      <c r="K92" t="s">
        <v>21</v>
      </c>
      <c r="L92" t="s">
        <v>51</v>
      </c>
      <c r="M92">
        <v>-1199.45</v>
      </c>
      <c r="N92" t="str">
        <f t="shared" si="2"/>
        <v>Jul</v>
      </c>
      <c r="O92" t="str">
        <f t="shared" si="3"/>
        <v>Returned</v>
      </c>
    </row>
    <row r="93" spans="1:15" x14ac:dyDescent="0.3">
      <c r="A93">
        <v>2222</v>
      </c>
      <c r="B93" t="s">
        <v>33</v>
      </c>
      <c r="C93" t="s">
        <v>14</v>
      </c>
      <c r="D93" t="s">
        <v>45</v>
      </c>
      <c r="E93" s="2" t="s">
        <v>30</v>
      </c>
      <c r="F93">
        <v>2</v>
      </c>
      <c r="G93">
        <v>8897.19</v>
      </c>
      <c r="H93">
        <v>0.11</v>
      </c>
      <c r="I93">
        <v>15837</v>
      </c>
      <c r="J93" s="1">
        <v>45647</v>
      </c>
      <c r="K93" t="s">
        <v>21</v>
      </c>
      <c r="L93" t="s">
        <v>23</v>
      </c>
      <c r="M93">
        <v>2821.69</v>
      </c>
      <c r="N93" t="str">
        <f t="shared" si="2"/>
        <v>Dec</v>
      </c>
      <c r="O93" t="str">
        <f t="shared" si="3"/>
        <v>Solid</v>
      </c>
    </row>
    <row r="94" spans="1:15" x14ac:dyDescent="0.3">
      <c r="A94">
        <v>3279</v>
      </c>
      <c r="B94" t="s">
        <v>13</v>
      </c>
      <c r="C94" t="s">
        <v>19</v>
      </c>
      <c r="D94" t="s">
        <v>35</v>
      </c>
      <c r="E94" s="2" t="s">
        <v>30</v>
      </c>
      <c r="F94">
        <v>4</v>
      </c>
      <c r="G94">
        <v>2572.41</v>
      </c>
      <c r="H94">
        <v>0.1</v>
      </c>
      <c r="I94">
        <v>9260.68</v>
      </c>
      <c r="J94" s="1">
        <v>45605</v>
      </c>
      <c r="K94" t="s">
        <v>21</v>
      </c>
      <c r="L94" t="s">
        <v>31</v>
      </c>
      <c r="M94">
        <v>3098.28</v>
      </c>
      <c r="N94" t="str">
        <f t="shared" si="2"/>
        <v>Nov</v>
      </c>
      <c r="O94" t="str">
        <f t="shared" si="3"/>
        <v>Solid</v>
      </c>
    </row>
    <row r="95" spans="1:15" x14ac:dyDescent="0.3">
      <c r="A95">
        <v>2481</v>
      </c>
      <c r="B95" t="s">
        <v>18</v>
      </c>
      <c r="C95" t="s">
        <v>19</v>
      </c>
      <c r="D95" t="s">
        <v>22</v>
      </c>
      <c r="E95" s="2">
        <v>7</v>
      </c>
      <c r="F95">
        <v>1</v>
      </c>
      <c r="G95">
        <v>9145.3700000000008</v>
      </c>
      <c r="H95">
        <v>7.0000000000000007E-2</v>
      </c>
      <c r="I95">
        <v>8505.19</v>
      </c>
      <c r="J95" s="1">
        <v>45764</v>
      </c>
      <c r="K95" t="s">
        <v>17</v>
      </c>
      <c r="L95" t="s">
        <v>27</v>
      </c>
      <c r="M95">
        <v>1755.19</v>
      </c>
      <c r="N95" t="str">
        <f t="shared" si="2"/>
        <v>Apr</v>
      </c>
      <c r="O95" t="str">
        <f t="shared" si="3"/>
        <v>Solid</v>
      </c>
    </row>
    <row r="96" spans="1:15" ht="14.4" hidden="1" x14ac:dyDescent="0.3">
      <c r="A96">
        <v>4008</v>
      </c>
      <c r="B96" t="s">
        <v>33</v>
      </c>
      <c r="C96" t="s">
        <v>37</v>
      </c>
      <c r="D96" t="s">
        <v>50</v>
      </c>
      <c r="E96" s="2">
        <v>9</v>
      </c>
      <c r="F96">
        <v>3</v>
      </c>
      <c r="G96">
        <v>7737.27</v>
      </c>
      <c r="H96">
        <v>7.0000000000000007E-2</v>
      </c>
      <c r="I96">
        <v>21586.98</v>
      </c>
      <c r="J96" s="1">
        <v>45275</v>
      </c>
      <c r="K96" t="s">
        <v>21</v>
      </c>
      <c r="L96" t="s">
        <v>52</v>
      </c>
      <c r="M96">
        <v>180.31</v>
      </c>
      <c r="N96" t="str">
        <f t="shared" si="2"/>
        <v>Dec</v>
      </c>
      <c r="O96" t="str">
        <f t="shared" si="3"/>
        <v>Solid</v>
      </c>
    </row>
    <row r="97" spans="1:15" x14ac:dyDescent="0.3">
      <c r="A97">
        <v>2550</v>
      </c>
      <c r="B97" t="s">
        <v>33</v>
      </c>
      <c r="C97" t="s">
        <v>19</v>
      </c>
      <c r="D97" t="s">
        <v>22</v>
      </c>
      <c r="E97" s="2" t="s">
        <v>30</v>
      </c>
      <c r="F97">
        <v>1</v>
      </c>
      <c r="G97">
        <v>6121.21</v>
      </c>
      <c r="H97">
        <v>0.05</v>
      </c>
      <c r="I97">
        <v>5815.15</v>
      </c>
      <c r="J97" s="1">
        <v>45177</v>
      </c>
      <c r="K97" t="s">
        <v>17</v>
      </c>
      <c r="L97" t="s">
        <v>39</v>
      </c>
      <c r="M97">
        <v>2470.08</v>
      </c>
      <c r="N97" t="str">
        <f t="shared" si="2"/>
        <v>Sep</v>
      </c>
      <c r="O97" t="str">
        <f t="shared" si="3"/>
        <v>Solid</v>
      </c>
    </row>
    <row r="98" spans="1:15" x14ac:dyDescent="0.3">
      <c r="A98">
        <v>3738</v>
      </c>
      <c r="B98" t="s">
        <v>33</v>
      </c>
      <c r="C98" t="s">
        <v>19</v>
      </c>
      <c r="D98" t="s">
        <v>22</v>
      </c>
      <c r="E98" s="2">
        <v>11</v>
      </c>
      <c r="F98">
        <v>1</v>
      </c>
      <c r="G98">
        <v>6968.08</v>
      </c>
      <c r="H98">
        <v>0.02</v>
      </c>
      <c r="I98">
        <v>6828.72</v>
      </c>
      <c r="J98" s="1">
        <v>45746</v>
      </c>
      <c r="K98" t="s">
        <v>17</v>
      </c>
      <c r="L98" t="s">
        <v>31</v>
      </c>
      <c r="M98">
        <v>-673.94</v>
      </c>
      <c r="N98" t="str">
        <f t="shared" si="2"/>
        <v>Mar</v>
      </c>
      <c r="O98" t="str">
        <f t="shared" si="3"/>
        <v>Solid</v>
      </c>
    </row>
    <row r="99" spans="1:15" ht="14.4" hidden="1" x14ac:dyDescent="0.3">
      <c r="A99">
        <v>2047</v>
      </c>
      <c r="B99" t="s">
        <v>18</v>
      </c>
      <c r="C99" t="s">
        <v>14</v>
      </c>
      <c r="D99" t="s">
        <v>15</v>
      </c>
      <c r="E99" s="2">
        <v>10</v>
      </c>
      <c r="F99">
        <v>1</v>
      </c>
      <c r="G99">
        <v>8577.75</v>
      </c>
      <c r="I99">
        <v>0</v>
      </c>
      <c r="J99" s="1">
        <v>45456</v>
      </c>
      <c r="K99" t="s">
        <v>21</v>
      </c>
      <c r="L99" t="s">
        <v>34</v>
      </c>
      <c r="M99">
        <v>2888.68</v>
      </c>
      <c r="N99" t="str">
        <f t="shared" si="2"/>
        <v>Jun</v>
      </c>
      <c r="O99" t="str">
        <f t="shared" si="3"/>
        <v>Solid</v>
      </c>
    </row>
    <row r="100" spans="1:15" ht="14.4" hidden="1" x14ac:dyDescent="0.3">
      <c r="A100">
        <v>2064</v>
      </c>
      <c r="B100" t="s">
        <v>13</v>
      </c>
      <c r="C100" t="s">
        <v>28</v>
      </c>
      <c r="D100" t="s">
        <v>29</v>
      </c>
      <c r="E100" s="2" t="s">
        <v>26</v>
      </c>
      <c r="F100">
        <v>2</v>
      </c>
      <c r="G100">
        <v>7557.71</v>
      </c>
      <c r="I100">
        <v>0</v>
      </c>
      <c r="J100" s="1">
        <v>45718</v>
      </c>
      <c r="K100" t="s">
        <v>17</v>
      </c>
      <c r="L100" t="s">
        <v>34</v>
      </c>
      <c r="M100">
        <v>3277.44</v>
      </c>
      <c r="N100" t="str">
        <f t="shared" si="2"/>
        <v>Mar</v>
      </c>
      <c r="O100" t="str">
        <f t="shared" si="3"/>
        <v>Solid</v>
      </c>
    </row>
    <row r="101" spans="1:15" ht="14.4" hidden="1" x14ac:dyDescent="0.3">
      <c r="A101">
        <v>2118</v>
      </c>
      <c r="B101" t="s">
        <v>13</v>
      </c>
      <c r="C101" t="s">
        <v>37</v>
      </c>
      <c r="D101" t="s">
        <v>44</v>
      </c>
      <c r="E101" s="2" t="s">
        <v>30</v>
      </c>
      <c r="F101">
        <v>2</v>
      </c>
      <c r="G101">
        <v>8426.5400000000009</v>
      </c>
      <c r="I101">
        <v>0</v>
      </c>
      <c r="J101" s="1">
        <v>45190</v>
      </c>
      <c r="K101" t="s">
        <v>17</v>
      </c>
      <c r="L101" t="s">
        <v>53</v>
      </c>
      <c r="M101">
        <v>2696.85</v>
      </c>
      <c r="N101" t="str">
        <f t="shared" si="2"/>
        <v>Sep</v>
      </c>
      <c r="O101" t="str">
        <f t="shared" si="3"/>
        <v>Solid</v>
      </c>
    </row>
    <row r="102" spans="1:15" ht="14.4" hidden="1" x14ac:dyDescent="0.3">
      <c r="A102">
        <v>2173</v>
      </c>
      <c r="B102" t="s">
        <v>33</v>
      </c>
      <c r="C102" t="s">
        <v>28</v>
      </c>
      <c r="D102" t="s">
        <v>42</v>
      </c>
      <c r="E102" s="2" t="s">
        <v>26</v>
      </c>
      <c r="F102">
        <v>-1</v>
      </c>
      <c r="G102">
        <v>6620.78</v>
      </c>
      <c r="I102">
        <v>0</v>
      </c>
      <c r="J102" s="1">
        <v>45745</v>
      </c>
      <c r="K102" t="s">
        <v>17</v>
      </c>
      <c r="L102" t="s">
        <v>34</v>
      </c>
      <c r="M102">
        <v>3770.03</v>
      </c>
      <c r="N102" t="str">
        <f t="shared" si="2"/>
        <v>Mar</v>
      </c>
      <c r="O102" t="str">
        <f t="shared" si="3"/>
        <v>Returned</v>
      </c>
    </row>
    <row r="103" spans="1:15" ht="14.4" hidden="1" x14ac:dyDescent="0.3">
      <c r="A103">
        <v>2246</v>
      </c>
      <c r="B103" t="s">
        <v>13</v>
      </c>
      <c r="C103" t="s">
        <v>37</v>
      </c>
      <c r="D103" t="s">
        <v>50</v>
      </c>
      <c r="E103" s="2" t="s">
        <v>26</v>
      </c>
      <c r="F103">
        <v>-1</v>
      </c>
      <c r="G103">
        <v>7806.98</v>
      </c>
      <c r="I103">
        <v>0</v>
      </c>
      <c r="J103" s="1">
        <v>45567</v>
      </c>
      <c r="K103" t="s">
        <v>17</v>
      </c>
      <c r="L103" t="s">
        <v>52</v>
      </c>
      <c r="M103">
        <v>-943.35</v>
      </c>
      <c r="N103" t="str">
        <f t="shared" si="2"/>
        <v>Oct</v>
      </c>
      <c r="O103" t="str">
        <f t="shared" si="3"/>
        <v>Returned</v>
      </c>
    </row>
    <row r="104" spans="1:15" ht="14.4" hidden="1" x14ac:dyDescent="0.3">
      <c r="A104">
        <v>2006</v>
      </c>
      <c r="B104" t="s">
        <v>18</v>
      </c>
      <c r="C104" t="s">
        <v>37</v>
      </c>
      <c r="D104" t="s">
        <v>44</v>
      </c>
      <c r="E104" s="2" t="s">
        <v>26</v>
      </c>
      <c r="F104">
        <v>-1</v>
      </c>
      <c r="G104">
        <v>8799.2199999999993</v>
      </c>
      <c r="I104">
        <v>0</v>
      </c>
      <c r="J104" s="1">
        <v>45151</v>
      </c>
      <c r="K104" t="s">
        <v>21</v>
      </c>
      <c r="L104" t="s">
        <v>34</v>
      </c>
      <c r="M104">
        <v>-1109.57</v>
      </c>
      <c r="N104" t="str">
        <f t="shared" ref="N104:N113" si="4">TEXT(J104,"mmm")</f>
        <v>Aug</v>
      </c>
      <c r="O104" t="str">
        <f t="shared" ref="O104:O113" si="5">IF(F104&lt;0,"Returned","Solid")</f>
        <v>Returned</v>
      </c>
    </row>
    <row r="105" spans="1:15" ht="14.4" hidden="1" x14ac:dyDescent="0.3">
      <c r="A105">
        <v>2388</v>
      </c>
      <c r="B105" t="s">
        <v>13</v>
      </c>
      <c r="C105" t="s">
        <v>28</v>
      </c>
      <c r="D105" t="s">
        <v>41</v>
      </c>
      <c r="E105" s="2" t="s">
        <v>26</v>
      </c>
      <c r="F105">
        <v>1</v>
      </c>
      <c r="G105">
        <v>5321.46</v>
      </c>
      <c r="I105">
        <v>0</v>
      </c>
      <c r="J105" s="1">
        <v>45537</v>
      </c>
      <c r="K105" t="s">
        <v>21</v>
      </c>
      <c r="L105" t="s">
        <v>34</v>
      </c>
      <c r="M105">
        <v>2587.2600000000002</v>
      </c>
      <c r="N105" t="str">
        <f t="shared" si="4"/>
        <v>Sep</v>
      </c>
      <c r="O105" t="str">
        <f t="shared" si="5"/>
        <v>Solid</v>
      </c>
    </row>
    <row r="106" spans="1:15" ht="14.4" hidden="1" x14ac:dyDescent="0.3">
      <c r="A106">
        <v>2415</v>
      </c>
      <c r="B106" t="s">
        <v>18</v>
      </c>
      <c r="C106" t="s">
        <v>28</v>
      </c>
      <c r="D106" t="s">
        <v>42</v>
      </c>
      <c r="E106" s="2">
        <v>8</v>
      </c>
      <c r="F106">
        <v>3</v>
      </c>
      <c r="G106">
        <v>6178.39</v>
      </c>
      <c r="I106">
        <v>0</v>
      </c>
      <c r="J106" s="1">
        <v>45495</v>
      </c>
      <c r="K106" t="s">
        <v>21</v>
      </c>
      <c r="L106" t="s">
        <v>34</v>
      </c>
      <c r="M106">
        <v>73.75</v>
      </c>
      <c r="N106" t="str">
        <f t="shared" si="4"/>
        <v>Jul</v>
      </c>
      <c r="O106" t="str">
        <f t="shared" si="5"/>
        <v>Solid</v>
      </c>
    </row>
    <row r="107" spans="1:15" ht="14.4" hidden="1" x14ac:dyDescent="0.3">
      <c r="A107">
        <v>2439</v>
      </c>
      <c r="B107" t="s">
        <v>33</v>
      </c>
      <c r="C107" t="s">
        <v>24</v>
      </c>
      <c r="D107" t="s">
        <v>25</v>
      </c>
      <c r="E107" s="2" t="s">
        <v>26</v>
      </c>
      <c r="F107">
        <v>-1</v>
      </c>
      <c r="G107">
        <v>3239.59</v>
      </c>
      <c r="I107">
        <v>0</v>
      </c>
      <c r="J107" s="1">
        <v>45719</v>
      </c>
      <c r="K107" t="s">
        <v>21</v>
      </c>
      <c r="L107" t="s">
        <v>34</v>
      </c>
      <c r="M107">
        <v>3467.1</v>
      </c>
      <c r="N107" t="str">
        <f t="shared" si="4"/>
        <v>Mar</v>
      </c>
      <c r="O107" t="str">
        <f t="shared" si="5"/>
        <v>Returned</v>
      </c>
    </row>
    <row r="108" spans="1:15" ht="14.4" hidden="1" x14ac:dyDescent="0.3">
      <c r="A108">
        <v>2464</v>
      </c>
      <c r="B108" t="s">
        <v>18</v>
      </c>
      <c r="C108" t="s">
        <v>24</v>
      </c>
      <c r="D108" t="s">
        <v>25</v>
      </c>
      <c r="E108" s="2" t="s">
        <v>30</v>
      </c>
      <c r="F108">
        <v>3</v>
      </c>
      <c r="G108">
        <v>2699.59</v>
      </c>
      <c r="I108">
        <v>0</v>
      </c>
      <c r="J108" s="1">
        <v>45473</v>
      </c>
      <c r="K108" t="s">
        <v>21</v>
      </c>
      <c r="L108" t="s">
        <v>52</v>
      </c>
      <c r="M108">
        <v>3507.56</v>
      </c>
      <c r="N108" t="str">
        <f t="shared" si="4"/>
        <v>Jun</v>
      </c>
      <c r="O108" t="str">
        <f t="shared" si="5"/>
        <v>Solid</v>
      </c>
    </row>
    <row r="109" spans="1:15" ht="14.4" hidden="1" x14ac:dyDescent="0.3">
      <c r="A109">
        <v>2537</v>
      </c>
      <c r="B109" t="s">
        <v>18</v>
      </c>
      <c r="C109" t="s">
        <v>24</v>
      </c>
      <c r="D109" t="s">
        <v>36</v>
      </c>
      <c r="E109" s="2" t="s">
        <v>16</v>
      </c>
      <c r="I109">
        <v>0</v>
      </c>
      <c r="J109" s="1">
        <v>45807</v>
      </c>
      <c r="K109" t="s">
        <v>21</v>
      </c>
      <c r="L109" t="s">
        <v>34</v>
      </c>
      <c r="M109">
        <v>2596.8000000000002</v>
      </c>
      <c r="N109" t="str">
        <f t="shared" si="4"/>
        <v>May</v>
      </c>
      <c r="O109" t="str">
        <f t="shared" si="5"/>
        <v>Solid</v>
      </c>
    </row>
    <row r="110" spans="1:15" ht="14.4" hidden="1" x14ac:dyDescent="0.3">
      <c r="A110">
        <v>2575</v>
      </c>
      <c r="B110" t="s">
        <v>33</v>
      </c>
      <c r="C110" t="s">
        <v>14</v>
      </c>
      <c r="D110" t="s">
        <v>40</v>
      </c>
      <c r="E110" s="2" t="s">
        <v>30</v>
      </c>
      <c r="F110">
        <v>2</v>
      </c>
      <c r="G110">
        <v>3582.67</v>
      </c>
      <c r="I110">
        <v>0</v>
      </c>
      <c r="J110" s="1">
        <v>45841</v>
      </c>
      <c r="K110" t="s">
        <v>17</v>
      </c>
      <c r="L110" t="s">
        <v>53</v>
      </c>
      <c r="M110">
        <v>1982.16</v>
      </c>
      <c r="N110" t="str">
        <f t="shared" si="4"/>
        <v>Jul</v>
      </c>
      <c r="O110" t="str">
        <f t="shared" si="5"/>
        <v>Solid</v>
      </c>
    </row>
    <row r="111" spans="1:15" ht="14.4" hidden="1" x14ac:dyDescent="0.3">
      <c r="A111">
        <v>2640</v>
      </c>
      <c r="B111" t="s">
        <v>13</v>
      </c>
      <c r="C111" t="s">
        <v>14</v>
      </c>
      <c r="D111" t="s">
        <v>45</v>
      </c>
      <c r="E111" s="2">
        <v>9</v>
      </c>
      <c r="F111">
        <v>2</v>
      </c>
      <c r="G111">
        <v>7900.02</v>
      </c>
      <c r="I111">
        <v>0</v>
      </c>
      <c r="J111" s="1">
        <v>45506</v>
      </c>
      <c r="K111" t="s">
        <v>17</v>
      </c>
      <c r="L111" t="s">
        <v>34</v>
      </c>
      <c r="M111">
        <v>861.92</v>
      </c>
      <c r="N111" t="str">
        <f t="shared" si="4"/>
        <v>Aug</v>
      </c>
      <c r="O111" t="str">
        <f t="shared" si="5"/>
        <v>Solid</v>
      </c>
    </row>
    <row r="112" spans="1:15" ht="14.4" hidden="1" x14ac:dyDescent="0.3">
      <c r="A112">
        <v>2732</v>
      </c>
      <c r="B112" t="s">
        <v>18</v>
      </c>
      <c r="C112" t="s">
        <v>14</v>
      </c>
      <c r="D112" t="s">
        <v>15</v>
      </c>
      <c r="E112" s="2" t="s">
        <v>16</v>
      </c>
      <c r="F112">
        <v>0</v>
      </c>
      <c r="G112">
        <v>3402.8</v>
      </c>
      <c r="I112">
        <v>0</v>
      </c>
      <c r="J112" s="1">
        <v>45717</v>
      </c>
      <c r="K112" t="s">
        <v>17</v>
      </c>
      <c r="L112" t="s">
        <v>52</v>
      </c>
      <c r="M112">
        <v>1045.5</v>
      </c>
      <c r="N112" t="str">
        <f t="shared" si="4"/>
        <v>Mar</v>
      </c>
      <c r="O112" t="str">
        <f t="shared" si="5"/>
        <v>Solid</v>
      </c>
    </row>
    <row r="113" spans="1:15" ht="14.4" hidden="1" x14ac:dyDescent="0.3">
      <c r="A113">
        <v>2806</v>
      </c>
      <c r="B113" t="s">
        <v>13</v>
      </c>
      <c r="C113" t="s">
        <v>37</v>
      </c>
      <c r="D113" t="s">
        <v>43</v>
      </c>
      <c r="E113" s="2">
        <v>7</v>
      </c>
      <c r="F113">
        <v>3</v>
      </c>
      <c r="G113">
        <v>4466.78</v>
      </c>
      <c r="I113">
        <v>0</v>
      </c>
      <c r="J113" s="1">
        <v>45332</v>
      </c>
      <c r="K113" t="s">
        <v>17</v>
      </c>
      <c r="L113" t="s">
        <v>34</v>
      </c>
      <c r="M113">
        <v>2407.08</v>
      </c>
      <c r="N113" t="str">
        <f t="shared" si="4"/>
        <v>Feb</v>
      </c>
      <c r="O113" t="str">
        <f t="shared" si="5"/>
        <v>Solid</v>
      </c>
    </row>
    <row r="114" spans="1:15" ht="14.4" hidden="1" x14ac:dyDescent="0.3">
      <c r="A114">
        <v>2811</v>
      </c>
      <c r="B114" t="s">
        <v>33</v>
      </c>
      <c r="C114" t="s">
        <v>37</v>
      </c>
      <c r="D114" t="s">
        <v>44</v>
      </c>
      <c r="E114" s="2">
        <v>8</v>
      </c>
      <c r="F114">
        <v>3</v>
      </c>
      <c r="G114">
        <v>9153.02</v>
      </c>
      <c r="I114">
        <v>0</v>
      </c>
      <c r="J114" s="1">
        <v>45681</v>
      </c>
      <c r="K114" t="s">
        <v>21</v>
      </c>
      <c r="L114" t="s">
        <v>34</v>
      </c>
      <c r="M114">
        <v>-77.61</v>
      </c>
      <c r="N114" t="str">
        <f t="shared" ref="N114:N125" si="6">TEXT(J114,"mmm")</f>
        <v>Jan</v>
      </c>
      <c r="O114" t="str">
        <f t="shared" ref="O114:O125" si="7">IF(F114&lt;0,"Returned","Solid")</f>
        <v>Solid</v>
      </c>
    </row>
    <row r="115" spans="1:15" ht="14.4" hidden="1" x14ac:dyDescent="0.3">
      <c r="A115">
        <v>2816</v>
      </c>
      <c r="B115" t="s">
        <v>33</v>
      </c>
      <c r="C115" t="s">
        <v>37</v>
      </c>
      <c r="D115" t="s">
        <v>50</v>
      </c>
      <c r="E115" s="2" t="s">
        <v>16</v>
      </c>
      <c r="F115">
        <v>3</v>
      </c>
      <c r="G115">
        <v>5983.35</v>
      </c>
      <c r="I115">
        <v>0</v>
      </c>
      <c r="J115" s="1">
        <v>45679</v>
      </c>
      <c r="K115" t="s">
        <v>21</v>
      </c>
      <c r="L115" t="s">
        <v>52</v>
      </c>
      <c r="M115">
        <v>916.13</v>
      </c>
      <c r="N115" t="str">
        <f t="shared" si="6"/>
        <v>Jan</v>
      </c>
      <c r="O115" t="str">
        <f t="shared" si="7"/>
        <v>Solid</v>
      </c>
    </row>
    <row r="116" spans="1:15" ht="14.4" hidden="1" x14ac:dyDescent="0.3">
      <c r="A116">
        <v>2860</v>
      </c>
      <c r="B116" t="s">
        <v>13</v>
      </c>
      <c r="C116" t="s">
        <v>24</v>
      </c>
      <c r="D116" t="s">
        <v>49</v>
      </c>
      <c r="E116" s="2" t="s">
        <v>30</v>
      </c>
      <c r="F116">
        <v>-1</v>
      </c>
      <c r="G116">
        <v>7568.04</v>
      </c>
      <c r="I116">
        <v>0</v>
      </c>
      <c r="J116" s="1">
        <v>45754</v>
      </c>
      <c r="K116" t="s">
        <v>21</v>
      </c>
      <c r="L116" t="s">
        <v>53</v>
      </c>
      <c r="M116">
        <v>1365.3</v>
      </c>
      <c r="N116" t="str">
        <f t="shared" si="6"/>
        <v>Apr</v>
      </c>
      <c r="O116" t="str">
        <f t="shared" si="7"/>
        <v>Returned</v>
      </c>
    </row>
    <row r="117" spans="1:15" ht="14.4" hidden="1" x14ac:dyDescent="0.3">
      <c r="A117">
        <v>2871</v>
      </c>
      <c r="B117" t="s">
        <v>33</v>
      </c>
      <c r="C117" t="s">
        <v>14</v>
      </c>
      <c r="D117" t="s">
        <v>32</v>
      </c>
      <c r="E117" s="2" t="s">
        <v>16</v>
      </c>
      <c r="F117">
        <v>1</v>
      </c>
      <c r="G117">
        <v>2294.09</v>
      </c>
      <c r="I117">
        <v>0</v>
      </c>
      <c r="J117" s="1">
        <v>45860</v>
      </c>
      <c r="K117" t="s">
        <v>21</v>
      </c>
      <c r="L117" t="s">
        <v>34</v>
      </c>
      <c r="M117">
        <v>1002.21</v>
      </c>
      <c r="N117" t="str">
        <f t="shared" si="6"/>
        <v>Jul</v>
      </c>
      <c r="O117" t="str">
        <f t="shared" si="7"/>
        <v>Solid</v>
      </c>
    </row>
    <row r="118" spans="1:15" ht="14.4" hidden="1" x14ac:dyDescent="0.3">
      <c r="A118">
        <v>2875</v>
      </c>
      <c r="B118" t="s">
        <v>18</v>
      </c>
      <c r="C118" t="s">
        <v>24</v>
      </c>
      <c r="D118" t="s">
        <v>48</v>
      </c>
      <c r="E118" s="2" t="s">
        <v>26</v>
      </c>
      <c r="F118">
        <v>4</v>
      </c>
      <c r="G118">
        <v>7401.53</v>
      </c>
      <c r="I118">
        <v>0</v>
      </c>
      <c r="J118" s="1">
        <v>45551</v>
      </c>
      <c r="K118" t="s">
        <v>21</v>
      </c>
      <c r="L118" t="s">
        <v>34</v>
      </c>
      <c r="M118">
        <v>1559.28</v>
      </c>
      <c r="N118" t="str">
        <f t="shared" si="6"/>
        <v>Sep</v>
      </c>
      <c r="O118" t="str">
        <f t="shared" si="7"/>
        <v>Solid</v>
      </c>
    </row>
    <row r="119" spans="1:15" ht="14.4" hidden="1" x14ac:dyDescent="0.3">
      <c r="A119">
        <v>3036</v>
      </c>
      <c r="B119" t="s">
        <v>13</v>
      </c>
      <c r="C119" t="s">
        <v>24</v>
      </c>
      <c r="D119" t="s">
        <v>48</v>
      </c>
      <c r="E119" s="2">
        <v>11</v>
      </c>
      <c r="F119">
        <v>2</v>
      </c>
      <c r="G119">
        <v>2879.09</v>
      </c>
      <c r="I119">
        <v>0</v>
      </c>
      <c r="J119" s="1">
        <v>45580</v>
      </c>
      <c r="K119" t="s">
        <v>21</v>
      </c>
      <c r="L119" t="s">
        <v>53</v>
      </c>
      <c r="M119">
        <v>1129.1099999999999</v>
      </c>
      <c r="N119" t="str">
        <f t="shared" si="6"/>
        <v>Oct</v>
      </c>
      <c r="O119" t="str">
        <f t="shared" si="7"/>
        <v>Solid</v>
      </c>
    </row>
    <row r="120" spans="1:15" ht="14.4" hidden="1" x14ac:dyDescent="0.3">
      <c r="A120">
        <v>3137</v>
      </c>
      <c r="B120" t="s">
        <v>13</v>
      </c>
      <c r="C120" t="s">
        <v>19</v>
      </c>
      <c r="D120" t="s">
        <v>22</v>
      </c>
      <c r="G120">
        <v>7176.21</v>
      </c>
      <c r="I120">
        <v>0</v>
      </c>
      <c r="J120" s="1">
        <v>45846</v>
      </c>
      <c r="K120" t="s">
        <v>17</v>
      </c>
      <c r="L120" t="s">
        <v>34</v>
      </c>
      <c r="M120">
        <v>659.4</v>
      </c>
      <c r="N120" t="str">
        <f t="shared" si="6"/>
        <v>Jul</v>
      </c>
      <c r="O120" t="str">
        <f t="shared" si="7"/>
        <v>Solid</v>
      </c>
    </row>
    <row r="121" spans="1:15" ht="14.4" hidden="1" x14ac:dyDescent="0.3">
      <c r="A121">
        <v>3202</v>
      </c>
      <c r="B121" t="s">
        <v>13</v>
      </c>
      <c r="C121" t="s">
        <v>28</v>
      </c>
      <c r="D121" t="s">
        <v>47</v>
      </c>
      <c r="E121" s="2">
        <v>10</v>
      </c>
      <c r="G121">
        <v>8926.14</v>
      </c>
      <c r="I121">
        <v>0</v>
      </c>
      <c r="K121" t="s">
        <v>17</v>
      </c>
      <c r="L121" t="s">
        <v>34</v>
      </c>
      <c r="M121">
        <v>1565.51</v>
      </c>
      <c r="N121" t="str">
        <f t="shared" si="6"/>
        <v>Jan</v>
      </c>
      <c r="O121" t="str">
        <f t="shared" si="7"/>
        <v>Solid</v>
      </c>
    </row>
    <row r="122" spans="1:15" ht="14.4" hidden="1" x14ac:dyDescent="0.3">
      <c r="A122">
        <v>3222</v>
      </c>
      <c r="B122" t="s">
        <v>13</v>
      </c>
      <c r="C122" t="s">
        <v>37</v>
      </c>
      <c r="D122" t="s">
        <v>38</v>
      </c>
      <c r="E122" s="2" t="s">
        <v>30</v>
      </c>
      <c r="F122">
        <v>-1</v>
      </c>
      <c r="G122">
        <v>5300.32</v>
      </c>
      <c r="I122">
        <v>0</v>
      </c>
      <c r="J122" s="1">
        <v>45573</v>
      </c>
      <c r="K122" t="s">
        <v>17</v>
      </c>
      <c r="L122" t="s">
        <v>34</v>
      </c>
      <c r="M122">
        <v>2593.48</v>
      </c>
      <c r="N122" t="str">
        <f t="shared" si="6"/>
        <v>Oct</v>
      </c>
      <c r="O122" t="str">
        <f t="shared" si="7"/>
        <v>Returned</v>
      </c>
    </row>
    <row r="123" spans="1:15" ht="14.4" hidden="1" x14ac:dyDescent="0.3">
      <c r="A123">
        <v>3255</v>
      </c>
      <c r="B123" t="s">
        <v>13</v>
      </c>
      <c r="C123" t="s">
        <v>37</v>
      </c>
      <c r="D123" t="s">
        <v>38</v>
      </c>
      <c r="E123" s="2" t="s">
        <v>30</v>
      </c>
      <c r="F123">
        <v>-1</v>
      </c>
      <c r="G123">
        <v>6975.67</v>
      </c>
      <c r="I123">
        <v>0</v>
      </c>
      <c r="J123" s="1">
        <v>45718</v>
      </c>
      <c r="K123" t="s">
        <v>17</v>
      </c>
      <c r="L123" t="s">
        <v>34</v>
      </c>
      <c r="M123">
        <v>960.65</v>
      </c>
      <c r="N123" t="str">
        <f t="shared" si="6"/>
        <v>Mar</v>
      </c>
      <c r="O123" t="str">
        <f t="shared" si="7"/>
        <v>Returned</v>
      </c>
    </row>
    <row r="124" spans="1:15" ht="14.4" hidden="1" x14ac:dyDescent="0.3">
      <c r="A124">
        <v>3265</v>
      </c>
      <c r="B124" t="s">
        <v>18</v>
      </c>
      <c r="C124" t="s">
        <v>19</v>
      </c>
      <c r="D124" t="s">
        <v>35</v>
      </c>
      <c r="E124" s="2" t="s">
        <v>16</v>
      </c>
      <c r="F124">
        <v>4</v>
      </c>
      <c r="I124">
        <v>0</v>
      </c>
      <c r="J124" s="1">
        <v>45557</v>
      </c>
      <c r="K124" t="s">
        <v>21</v>
      </c>
      <c r="L124" t="s">
        <v>34</v>
      </c>
      <c r="M124">
        <v>2860.71</v>
      </c>
      <c r="N124" t="str">
        <f t="shared" si="6"/>
        <v>Sep</v>
      </c>
      <c r="O124" t="str">
        <f t="shared" si="7"/>
        <v>Solid</v>
      </c>
    </row>
    <row r="125" spans="1:15" ht="14.4" hidden="1" x14ac:dyDescent="0.3">
      <c r="A125">
        <v>3272</v>
      </c>
      <c r="B125" t="s">
        <v>33</v>
      </c>
      <c r="C125" t="s">
        <v>24</v>
      </c>
      <c r="D125" t="s">
        <v>25</v>
      </c>
      <c r="E125" s="2">
        <v>8</v>
      </c>
      <c r="I125">
        <v>0</v>
      </c>
      <c r="K125" t="s">
        <v>21</v>
      </c>
      <c r="L125" t="s">
        <v>53</v>
      </c>
      <c r="M125">
        <v>-321.24</v>
      </c>
      <c r="N125" t="str">
        <f t="shared" si="6"/>
        <v>Jan</v>
      </c>
      <c r="O125" t="str">
        <f t="shared" si="7"/>
        <v>Solid</v>
      </c>
    </row>
    <row r="126" spans="1:15" ht="14.4" hidden="1" x14ac:dyDescent="0.3">
      <c r="A126">
        <v>3325</v>
      </c>
      <c r="B126" t="s">
        <v>13</v>
      </c>
      <c r="C126" t="s">
        <v>37</v>
      </c>
      <c r="D126" t="s">
        <v>50</v>
      </c>
      <c r="E126" s="2" t="s">
        <v>26</v>
      </c>
      <c r="I126">
        <v>0</v>
      </c>
      <c r="J126" s="1">
        <v>45602</v>
      </c>
      <c r="K126" t="s">
        <v>17</v>
      </c>
      <c r="L126" t="s">
        <v>52</v>
      </c>
      <c r="M126">
        <v>1115.7</v>
      </c>
      <c r="N126" t="str">
        <f t="shared" ref="N126:N141" si="8">TEXT(J126,"mmm")</f>
        <v>Nov</v>
      </c>
      <c r="O126" t="str">
        <f t="shared" ref="O126:O141" si="9">IF(F126&lt;0,"Returned","Solid")</f>
        <v>Solid</v>
      </c>
    </row>
    <row r="127" spans="1:15" ht="14.4" hidden="1" x14ac:dyDescent="0.3">
      <c r="A127">
        <v>3341</v>
      </c>
      <c r="B127" t="s">
        <v>13</v>
      </c>
      <c r="C127" t="s">
        <v>14</v>
      </c>
      <c r="D127" t="s">
        <v>40</v>
      </c>
      <c r="E127" s="2">
        <v>8</v>
      </c>
      <c r="F127">
        <v>3</v>
      </c>
      <c r="G127">
        <v>8387.99</v>
      </c>
      <c r="I127">
        <v>0</v>
      </c>
      <c r="J127" s="1">
        <v>45374</v>
      </c>
      <c r="K127" t="s">
        <v>17</v>
      </c>
      <c r="L127" t="s">
        <v>34</v>
      </c>
      <c r="M127">
        <v>1693.41</v>
      </c>
      <c r="N127" t="str">
        <f t="shared" si="8"/>
        <v>Mar</v>
      </c>
      <c r="O127" t="str">
        <f t="shared" si="9"/>
        <v>Solid</v>
      </c>
    </row>
    <row r="128" spans="1:15" ht="14.4" hidden="1" x14ac:dyDescent="0.3">
      <c r="A128">
        <v>3343</v>
      </c>
      <c r="B128" t="s">
        <v>13</v>
      </c>
      <c r="C128" t="s">
        <v>37</v>
      </c>
      <c r="D128" t="s">
        <v>38</v>
      </c>
      <c r="E128" s="2" t="s">
        <v>26</v>
      </c>
      <c r="F128">
        <v>3</v>
      </c>
      <c r="G128">
        <v>9405.77</v>
      </c>
      <c r="I128">
        <v>0</v>
      </c>
      <c r="J128" s="1">
        <v>45608</v>
      </c>
      <c r="K128" t="s">
        <v>21</v>
      </c>
      <c r="L128" t="s">
        <v>53</v>
      </c>
      <c r="M128">
        <v>1688.78</v>
      </c>
      <c r="N128" t="str">
        <f t="shared" si="8"/>
        <v>Nov</v>
      </c>
      <c r="O128" t="str">
        <f t="shared" si="9"/>
        <v>Solid</v>
      </c>
    </row>
    <row r="129" spans="1:15" ht="14.4" hidden="1" x14ac:dyDescent="0.3">
      <c r="A129">
        <v>3375</v>
      </c>
      <c r="B129" t="s">
        <v>13</v>
      </c>
      <c r="C129" t="s">
        <v>28</v>
      </c>
      <c r="D129" t="s">
        <v>42</v>
      </c>
      <c r="E129" s="2" t="s">
        <v>16</v>
      </c>
      <c r="F129">
        <v>0</v>
      </c>
      <c r="G129">
        <v>2134.23</v>
      </c>
      <c r="I129">
        <v>0</v>
      </c>
      <c r="J129" s="1">
        <v>45618</v>
      </c>
      <c r="K129" t="s">
        <v>17</v>
      </c>
      <c r="L129" t="s">
        <v>34</v>
      </c>
      <c r="M129">
        <v>1647.39</v>
      </c>
      <c r="N129" t="str">
        <f t="shared" si="8"/>
        <v>Nov</v>
      </c>
      <c r="O129" t="str">
        <f t="shared" si="9"/>
        <v>Solid</v>
      </c>
    </row>
    <row r="130" spans="1:15" ht="14.4" hidden="1" x14ac:dyDescent="0.3">
      <c r="A130">
        <v>3394</v>
      </c>
      <c r="B130" t="s">
        <v>13</v>
      </c>
      <c r="C130" t="s">
        <v>24</v>
      </c>
      <c r="D130" t="s">
        <v>48</v>
      </c>
      <c r="E130" s="2" t="s">
        <v>30</v>
      </c>
      <c r="F130">
        <v>1</v>
      </c>
      <c r="I130">
        <v>0</v>
      </c>
      <c r="J130" s="1">
        <v>45599</v>
      </c>
      <c r="K130" t="s">
        <v>17</v>
      </c>
      <c r="L130" t="s">
        <v>53</v>
      </c>
      <c r="M130">
        <v>2396.11</v>
      </c>
      <c r="N130" t="str">
        <f t="shared" si="8"/>
        <v>Nov</v>
      </c>
      <c r="O130" t="str">
        <f t="shared" si="9"/>
        <v>Solid</v>
      </c>
    </row>
    <row r="131" spans="1:15" ht="14.4" hidden="1" x14ac:dyDescent="0.3">
      <c r="A131">
        <v>3415</v>
      </c>
      <c r="B131" t="s">
        <v>13</v>
      </c>
      <c r="C131" t="s">
        <v>37</v>
      </c>
      <c r="D131" t="s">
        <v>38</v>
      </c>
      <c r="E131" s="2" t="s">
        <v>26</v>
      </c>
      <c r="F131">
        <v>-1</v>
      </c>
      <c r="G131">
        <v>6165.08</v>
      </c>
      <c r="I131">
        <v>0</v>
      </c>
      <c r="J131" s="1">
        <v>45357</v>
      </c>
      <c r="K131" t="s">
        <v>17</v>
      </c>
      <c r="L131" t="s">
        <v>52</v>
      </c>
      <c r="M131">
        <v>-426.97</v>
      </c>
      <c r="N131" t="str">
        <f t="shared" si="8"/>
        <v>Mar</v>
      </c>
      <c r="O131" t="str">
        <f t="shared" si="9"/>
        <v>Returned</v>
      </c>
    </row>
    <row r="132" spans="1:15" x14ac:dyDescent="0.3">
      <c r="A132">
        <v>3540</v>
      </c>
      <c r="B132" t="s">
        <v>13</v>
      </c>
      <c r="C132" t="s">
        <v>14</v>
      </c>
      <c r="D132" t="s">
        <v>32</v>
      </c>
      <c r="E132" s="2" t="s">
        <v>30</v>
      </c>
      <c r="F132">
        <v>-1</v>
      </c>
      <c r="G132">
        <v>9564.4</v>
      </c>
      <c r="I132">
        <v>0</v>
      </c>
      <c r="J132" s="1">
        <v>45793</v>
      </c>
      <c r="K132" t="s">
        <v>21</v>
      </c>
      <c r="L132" t="s">
        <v>31</v>
      </c>
      <c r="M132">
        <v>1850.13</v>
      </c>
      <c r="N132" t="str">
        <f t="shared" si="8"/>
        <v>May</v>
      </c>
      <c r="O132" t="str">
        <f t="shared" si="9"/>
        <v>Returned</v>
      </c>
    </row>
    <row r="133" spans="1:15" x14ac:dyDescent="0.3">
      <c r="A133">
        <v>3541</v>
      </c>
      <c r="B133" t="s">
        <v>13</v>
      </c>
      <c r="C133" t="s">
        <v>14</v>
      </c>
      <c r="D133" t="s">
        <v>15</v>
      </c>
      <c r="E133" s="2" t="s">
        <v>16</v>
      </c>
      <c r="F133">
        <v>-1</v>
      </c>
      <c r="G133">
        <v>3644.5</v>
      </c>
      <c r="I133">
        <v>0</v>
      </c>
      <c r="J133" s="1">
        <v>45539</v>
      </c>
      <c r="K133" t="s">
        <v>17</v>
      </c>
      <c r="L133" t="s">
        <v>23</v>
      </c>
      <c r="M133">
        <v>2011.76</v>
      </c>
      <c r="N133" t="str">
        <f t="shared" si="8"/>
        <v>Sep</v>
      </c>
      <c r="O133" t="str">
        <f t="shared" si="9"/>
        <v>Returned</v>
      </c>
    </row>
    <row r="134" spans="1:15" x14ac:dyDescent="0.3">
      <c r="A134">
        <v>3553</v>
      </c>
      <c r="B134" t="s">
        <v>18</v>
      </c>
      <c r="C134" t="s">
        <v>28</v>
      </c>
      <c r="D134" t="s">
        <v>41</v>
      </c>
      <c r="E134" s="2" t="s">
        <v>30</v>
      </c>
      <c r="F134">
        <v>2</v>
      </c>
      <c r="G134">
        <v>5216.2700000000004</v>
      </c>
      <c r="I134">
        <v>0</v>
      </c>
      <c r="J134" s="1">
        <v>45833</v>
      </c>
      <c r="K134" t="s">
        <v>17</v>
      </c>
      <c r="L134" t="s">
        <v>27</v>
      </c>
      <c r="M134">
        <v>-720.87</v>
      </c>
      <c r="N134" t="str">
        <f t="shared" si="8"/>
        <v>Jun</v>
      </c>
      <c r="O134" t="str">
        <f t="shared" si="9"/>
        <v>Solid</v>
      </c>
    </row>
    <row r="135" spans="1:15" x14ac:dyDescent="0.3">
      <c r="A135">
        <v>3558</v>
      </c>
      <c r="B135" t="s">
        <v>18</v>
      </c>
      <c r="C135" t="s">
        <v>14</v>
      </c>
      <c r="D135" t="s">
        <v>32</v>
      </c>
      <c r="E135" s="2" t="s">
        <v>26</v>
      </c>
      <c r="F135">
        <v>4</v>
      </c>
      <c r="G135">
        <v>4045.21</v>
      </c>
      <c r="I135">
        <v>0</v>
      </c>
      <c r="J135" s="1">
        <v>45534</v>
      </c>
      <c r="K135" t="s">
        <v>17</v>
      </c>
      <c r="L135" t="s">
        <v>23</v>
      </c>
      <c r="M135">
        <v>-113.44</v>
      </c>
      <c r="N135" t="str">
        <f t="shared" si="8"/>
        <v>Aug</v>
      </c>
      <c r="O135" t="str">
        <f t="shared" si="9"/>
        <v>Solid</v>
      </c>
    </row>
    <row r="136" spans="1:15" x14ac:dyDescent="0.3">
      <c r="A136">
        <v>3576</v>
      </c>
      <c r="B136" t="s">
        <v>18</v>
      </c>
      <c r="C136" t="s">
        <v>24</v>
      </c>
      <c r="D136" t="s">
        <v>36</v>
      </c>
      <c r="E136" s="2" t="s">
        <v>16</v>
      </c>
      <c r="F136">
        <v>2</v>
      </c>
      <c r="G136">
        <v>3533.18</v>
      </c>
      <c r="I136">
        <v>0</v>
      </c>
      <c r="J136" s="1">
        <v>45368</v>
      </c>
      <c r="K136" t="s">
        <v>21</v>
      </c>
      <c r="L136" t="s">
        <v>54</v>
      </c>
      <c r="M136">
        <v>-586.23</v>
      </c>
      <c r="N136" t="str">
        <f t="shared" si="8"/>
        <v>Mar</v>
      </c>
      <c r="O136" t="str">
        <f t="shared" si="9"/>
        <v>Solid</v>
      </c>
    </row>
    <row r="137" spans="1:15" x14ac:dyDescent="0.3">
      <c r="A137">
        <v>3579</v>
      </c>
      <c r="B137" t="s">
        <v>33</v>
      </c>
      <c r="C137" t="s">
        <v>37</v>
      </c>
      <c r="D137" t="s">
        <v>50</v>
      </c>
      <c r="E137" s="2" t="s">
        <v>30</v>
      </c>
      <c r="F137">
        <v>0</v>
      </c>
      <c r="G137">
        <v>9995.5499999999993</v>
      </c>
      <c r="I137">
        <v>0</v>
      </c>
      <c r="J137" s="1">
        <v>45691</v>
      </c>
      <c r="K137" t="s">
        <v>21</v>
      </c>
      <c r="L137" t="s">
        <v>31</v>
      </c>
      <c r="M137">
        <v>1962.41</v>
      </c>
      <c r="N137" t="str">
        <f t="shared" si="8"/>
        <v>Feb</v>
      </c>
      <c r="O137" t="str">
        <f t="shared" si="9"/>
        <v>Solid</v>
      </c>
    </row>
    <row r="138" spans="1:15" ht="14.4" hidden="1" x14ac:dyDescent="0.3">
      <c r="A138">
        <v>3605</v>
      </c>
      <c r="B138" t="s">
        <v>33</v>
      </c>
      <c r="C138" t="s">
        <v>19</v>
      </c>
      <c r="D138" t="s">
        <v>46</v>
      </c>
      <c r="E138" s="2" t="s">
        <v>16</v>
      </c>
      <c r="F138">
        <v>2</v>
      </c>
      <c r="G138">
        <v>8837.76</v>
      </c>
      <c r="I138">
        <v>0</v>
      </c>
      <c r="J138" s="1">
        <v>45666</v>
      </c>
      <c r="K138" t="s">
        <v>17</v>
      </c>
      <c r="L138" t="s">
        <v>52</v>
      </c>
      <c r="M138">
        <v>1627.87</v>
      </c>
      <c r="N138" t="str">
        <f t="shared" si="8"/>
        <v>Jan</v>
      </c>
      <c r="O138" t="str">
        <f t="shared" si="9"/>
        <v>Solid</v>
      </c>
    </row>
    <row r="139" spans="1:15" ht="14.4" hidden="1" x14ac:dyDescent="0.3">
      <c r="A139">
        <v>3620</v>
      </c>
      <c r="B139" t="s">
        <v>33</v>
      </c>
      <c r="C139" t="s">
        <v>28</v>
      </c>
      <c r="D139" t="s">
        <v>29</v>
      </c>
      <c r="E139" s="2">
        <v>11</v>
      </c>
      <c r="F139">
        <v>0</v>
      </c>
      <c r="G139">
        <v>8561.18</v>
      </c>
      <c r="I139">
        <v>0</v>
      </c>
      <c r="J139" s="1">
        <v>45598</v>
      </c>
      <c r="K139" t="s">
        <v>21</v>
      </c>
      <c r="L139" t="s">
        <v>34</v>
      </c>
      <c r="M139">
        <v>1538.46</v>
      </c>
      <c r="N139" t="str">
        <f t="shared" si="8"/>
        <v>Nov</v>
      </c>
      <c r="O139" t="str">
        <f t="shared" si="9"/>
        <v>Solid</v>
      </c>
    </row>
    <row r="140" spans="1:15" ht="14.4" hidden="1" x14ac:dyDescent="0.3">
      <c r="A140">
        <v>3622</v>
      </c>
      <c r="B140" t="s">
        <v>18</v>
      </c>
      <c r="C140" t="s">
        <v>19</v>
      </c>
      <c r="D140" t="s">
        <v>22</v>
      </c>
      <c r="E140" s="2">
        <v>8</v>
      </c>
      <c r="F140">
        <v>3</v>
      </c>
      <c r="G140">
        <v>2187.91</v>
      </c>
      <c r="I140">
        <v>0</v>
      </c>
      <c r="J140" s="1">
        <v>45557</v>
      </c>
      <c r="K140" t="s">
        <v>17</v>
      </c>
      <c r="L140" t="s">
        <v>53</v>
      </c>
      <c r="M140">
        <v>1951.56</v>
      </c>
      <c r="N140" t="str">
        <f t="shared" si="8"/>
        <v>Sep</v>
      </c>
      <c r="O140" t="str">
        <f t="shared" si="9"/>
        <v>Solid</v>
      </c>
    </row>
    <row r="141" spans="1:15" ht="14.4" hidden="1" x14ac:dyDescent="0.3">
      <c r="A141">
        <v>3652</v>
      </c>
      <c r="B141" t="s">
        <v>13</v>
      </c>
      <c r="C141" t="s">
        <v>37</v>
      </c>
      <c r="D141" t="s">
        <v>38</v>
      </c>
      <c r="E141" s="2" t="s">
        <v>30</v>
      </c>
      <c r="F141">
        <v>0</v>
      </c>
      <c r="G141">
        <v>3176.7</v>
      </c>
      <c r="I141">
        <v>0</v>
      </c>
      <c r="J141" s="1">
        <v>45251</v>
      </c>
      <c r="K141" t="s">
        <v>17</v>
      </c>
      <c r="L141" t="s">
        <v>53</v>
      </c>
      <c r="M141">
        <v>3349.8</v>
      </c>
      <c r="N141" t="str">
        <f t="shared" si="8"/>
        <v>Nov</v>
      </c>
      <c r="O141" t="str">
        <f t="shared" si="9"/>
        <v>Solid</v>
      </c>
    </row>
    <row r="142" spans="1:15" x14ac:dyDescent="0.3">
      <c r="A142">
        <v>3687</v>
      </c>
      <c r="B142" t="s">
        <v>18</v>
      </c>
      <c r="C142" t="s">
        <v>14</v>
      </c>
      <c r="D142" t="s">
        <v>45</v>
      </c>
      <c r="E142" s="2" t="s">
        <v>30</v>
      </c>
      <c r="F142">
        <v>-1</v>
      </c>
      <c r="G142">
        <v>6216.27</v>
      </c>
      <c r="I142">
        <v>0</v>
      </c>
      <c r="J142" s="1">
        <v>45588</v>
      </c>
      <c r="K142" t="s">
        <v>21</v>
      </c>
      <c r="L142" t="s">
        <v>23</v>
      </c>
      <c r="M142">
        <v>2418.27</v>
      </c>
      <c r="N142" t="str">
        <f t="shared" ref="N142:N162" si="10">TEXT(J142,"mmm")</f>
        <v>Oct</v>
      </c>
      <c r="O142" t="str">
        <f t="shared" ref="O142:O162" si="11">IF(F142&lt;0,"Returned","Solid")</f>
        <v>Returned</v>
      </c>
    </row>
    <row r="143" spans="1:15" x14ac:dyDescent="0.3">
      <c r="A143">
        <v>3688</v>
      </c>
      <c r="B143" t="s">
        <v>13</v>
      </c>
      <c r="C143" t="s">
        <v>28</v>
      </c>
      <c r="D143" t="s">
        <v>29</v>
      </c>
      <c r="E143" s="2" t="s">
        <v>26</v>
      </c>
      <c r="F143">
        <v>1</v>
      </c>
      <c r="G143">
        <v>5048.9799999999996</v>
      </c>
      <c r="I143">
        <v>0</v>
      </c>
      <c r="J143" s="1">
        <v>45764</v>
      </c>
      <c r="K143" t="s">
        <v>21</v>
      </c>
      <c r="L143" t="s">
        <v>39</v>
      </c>
      <c r="M143">
        <v>1214.8599999999999</v>
      </c>
      <c r="N143" t="str">
        <f t="shared" si="10"/>
        <v>Apr</v>
      </c>
      <c r="O143" t="str">
        <f t="shared" si="11"/>
        <v>Solid</v>
      </c>
    </row>
    <row r="144" spans="1:15" ht="14.4" hidden="1" x14ac:dyDescent="0.3">
      <c r="A144">
        <v>3706</v>
      </c>
      <c r="B144" t="s">
        <v>33</v>
      </c>
      <c r="C144" t="s">
        <v>28</v>
      </c>
      <c r="D144" t="s">
        <v>47</v>
      </c>
      <c r="E144" s="2" t="s">
        <v>16</v>
      </c>
      <c r="F144">
        <v>1</v>
      </c>
      <c r="G144">
        <v>9437.73</v>
      </c>
      <c r="I144">
        <v>0</v>
      </c>
      <c r="J144" s="1">
        <v>45725</v>
      </c>
      <c r="K144" t="s">
        <v>21</v>
      </c>
      <c r="L144" t="s">
        <v>53</v>
      </c>
      <c r="M144">
        <v>3271.38</v>
      </c>
      <c r="N144" t="str">
        <f t="shared" si="10"/>
        <v>Mar</v>
      </c>
      <c r="O144" t="str">
        <f t="shared" si="11"/>
        <v>Solid</v>
      </c>
    </row>
    <row r="145" spans="1:15" ht="14.4" hidden="1" x14ac:dyDescent="0.3">
      <c r="A145">
        <v>3789</v>
      </c>
      <c r="B145" t="s">
        <v>18</v>
      </c>
      <c r="C145" t="s">
        <v>24</v>
      </c>
      <c r="D145" t="s">
        <v>49</v>
      </c>
      <c r="E145" s="2" t="s">
        <v>30</v>
      </c>
      <c r="F145">
        <v>2</v>
      </c>
      <c r="G145">
        <v>2738.79</v>
      </c>
      <c r="I145">
        <v>0</v>
      </c>
      <c r="J145" s="1">
        <v>45515</v>
      </c>
      <c r="K145" t="s">
        <v>21</v>
      </c>
      <c r="L145" t="s">
        <v>53</v>
      </c>
      <c r="M145">
        <v>863.29</v>
      </c>
      <c r="N145" t="str">
        <f t="shared" si="10"/>
        <v>Aug</v>
      </c>
      <c r="O145" t="str">
        <f t="shared" si="11"/>
        <v>Solid</v>
      </c>
    </row>
    <row r="146" spans="1:15" x14ac:dyDescent="0.3">
      <c r="A146">
        <v>3811</v>
      </c>
      <c r="B146" t="s">
        <v>18</v>
      </c>
      <c r="C146" t="s">
        <v>28</v>
      </c>
      <c r="D146" t="s">
        <v>29</v>
      </c>
      <c r="E146" s="2" t="s">
        <v>30</v>
      </c>
      <c r="F146">
        <v>0</v>
      </c>
      <c r="G146">
        <v>5706.6</v>
      </c>
      <c r="I146">
        <v>0</v>
      </c>
      <c r="J146" s="1">
        <v>45563</v>
      </c>
      <c r="K146" t="s">
        <v>17</v>
      </c>
      <c r="L146" t="s">
        <v>54</v>
      </c>
      <c r="M146">
        <v>1397.86</v>
      </c>
      <c r="N146" t="str">
        <f t="shared" si="10"/>
        <v>Sep</v>
      </c>
      <c r="O146" t="str">
        <f t="shared" si="11"/>
        <v>Solid</v>
      </c>
    </row>
    <row r="147" spans="1:15" x14ac:dyDescent="0.3">
      <c r="A147">
        <v>3812</v>
      </c>
      <c r="B147" t="s">
        <v>13</v>
      </c>
      <c r="C147" t="s">
        <v>14</v>
      </c>
      <c r="D147" t="s">
        <v>45</v>
      </c>
      <c r="E147" s="2" t="s">
        <v>26</v>
      </c>
      <c r="F147">
        <v>0</v>
      </c>
      <c r="G147">
        <v>9321.19</v>
      </c>
      <c r="I147">
        <v>0</v>
      </c>
      <c r="J147" s="1">
        <v>45597</v>
      </c>
      <c r="K147" t="s">
        <v>17</v>
      </c>
      <c r="L147" t="s">
        <v>39</v>
      </c>
      <c r="M147">
        <v>818.49</v>
      </c>
      <c r="N147" t="str">
        <f t="shared" si="10"/>
        <v>Nov</v>
      </c>
      <c r="O147" t="str">
        <f t="shared" si="11"/>
        <v>Solid</v>
      </c>
    </row>
    <row r="148" spans="1:15" x14ac:dyDescent="0.3">
      <c r="A148">
        <v>3814</v>
      </c>
      <c r="B148" t="s">
        <v>13</v>
      </c>
      <c r="C148" t="s">
        <v>24</v>
      </c>
      <c r="D148" t="s">
        <v>48</v>
      </c>
      <c r="E148" s="2" t="s">
        <v>16</v>
      </c>
      <c r="F148">
        <v>-1</v>
      </c>
      <c r="G148">
        <v>9668.4699999999993</v>
      </c>
      <c r="I148">
        <v>0</v>
      </c>
      <c r="J148" s="1">
        <v>45651</v>
      </c>
      <c r="K148" t="s">
        <v>21</v>
      </c>
      <c r="L148" t="s">
        <v>39</v>
      </c>
      <c r="M148">
        <v>3718.8</v>
      </c>
      <c r="N148" t="str">
        <f t="shared" si="10"/>
        <v>Dec</v>
      </c>
      <c r="O148" t="str">
        <f t="shared" si="11"/>
        <v>Returned</v>
      </c>
    </row>
    <row r="149" spans="1:15" x14ac:dyDescent="0.3">
      <c r="A149">
        <v>3819</v>
      </c>
      <c r="B149" t="s">
        <v>13</v>
      </c>
      <c r="C149" t="s">
        <v>37</v>
      </c>
      <c r="D149" t="s">
        <v>44</v>
      </c>
      <c r="E149" s="2" t="s">
        <v>16</v>
      </c>
      <c r="F149">
        <v>3</v>
      </c>
      <c r="G149">
        <v>7171.03</v>
      </c>
      <c r="I149">
        <v>0</v>
      </c>
      <c r="J149" s="1">
        <v>45804</v>
      </c>
      <c r="K149" t="s">
        <v>21</v>
      </c>
      <c r="L149" t="s">
        <v>39</v>
      </c>
      <c r="M149">
        <v>2723</v>
      </c>
      <c r="N149" t="str">
        <f t="shared" si="10"/>
        <v>May</v>
      </c>
      <c r="O149" t="str">
        <f t="shared" si="11"/>
        <v>Solid</v>
      </c>
    </row>
    <row r="150" spans="1:15" x14ac:dyDescent="0.3">
      <c r="A150">
        <v>3821</v>
      </c>
      <c r="B150" t="s">
        <v>18</v>
      </c>
      <c r="C150" t="s">
        <v>24</v>
      </c>
      <c r="D150" t="s">
        <v>49</v>
      </c>
      <c r="E150" s="2" t="s">
        <v>26</v>
      </c>
      <c r="F150">
        <v>-1</v>
      </c>
      <c r="G150">
        <v>7539.55</v>
      </c>
      <c r="I150">
        <v>0</v>
      </c>
      <c r="J150" s="1">
        <v>45584</v>
      </c>
      <c r="K150" t="s">
        <v>21</v>
      </c>
      <c r="L150" t="s">
        <v>39</v>
      </c>
      <c r="M150">
        <v>-17.8</v>
      </c>
      <c r="N150" t="str">
        <f t="shared" si="10"/>
        <v>Oct</v>
      </c>
      <c r="O150" t="str">
        <f t="shared" si="11"/>
        <v>Returned</v>
      </c>
    </row>
    <row r="151" spans="1:15" ht="14.4" hidden="1" x14ac:dyDescent="0.3">
      <c r="A151">
        <v>3830</v>
      </c>
      <c r="B151" t="s">
        <v>13</v>
      </c>
      <c r="C151" t="s">
        <v>19</v>
      </c>
      <c r="D151" t="s">
        <v>46</v>
      </c>
      <c r="E151" s="2" t="s">
        <v>26</v>
      </c>
      <c r="F151">
        <v>2</v>
      </c>
      <c r="G151">
        <v>3664.1</v>
      </c>
      <c r="I151">
        <v>0</v>
      </c>
      <c r="J151" s="1">
        <v>45539</v>
      </c>
      <c r="K151" t="s">
        <v>21</v>
      </c>
      <c r="L151" t="s">
        <v>52</v>
      </c>
      <c r="M151">
        <v>3188.23</v>
      </c>
      <c r="N151" t="str">
        <f t="shared" si="10"/>
        <v>Sep</v>
      </c>
      <c r="O151" t="str">
        <f t="shared" si="11"/>
        <v>Solid</v>
      </c>
    </row>
    <row r="152" spans="1:15" ht="14.4" hidden="1" x14ac:dyDescent="0.3">
      <c r="A152">
        <v>3831</v>
      </c>
      <c r="B152" t="s">
        <v>33</v>
      </c>
      <c r="C152" t="s">
        <v>28</v>
      </c>
      <c r="D152" t="s">
        <v>41</v>
      </c>
      <c r="E152" s="2" t="s">
        <v>26</v>
      </c>
      <c r="F152">
        <v>0</v>
      </c>
      <c r="G152">
        <v>3231.05</v>
      </c>
      <c r="I152">
        <v>0</v>
      </c>
      <c r="J152" s="1">
        <v>45773</v>
      </c>
      <c r="K152" t="s">
        <v>17</v>
      </c>
      <c r="L152" t="s">
        <v>34</v>
      </c>
      <c r="M152">
        <v>504.5</v>
      </c>
      <c r="N152" t="str">
        <f t="shared" si="10"/>
        <v>Apr</v>
      </c>
      <c r="O152" t="str">
        <f t="shared" si="11"/>
        <v>Solid</v>
      </c>
    </row>
    <row r="153" spans="1:15" ht="14.4" hidden="1" x14ac:dyDescent="0.3">
      <c r="A153">
        <v>3876</v>
      </c>
      <c r="B153" t="s">
        <v>33</v>
      </c>
      <c r="C153" t="s">
        <v>19</v>
      </c>
      <c r="D153" t="s">
        <v>46</v>
      </c>
      <c r="E153" s="2" t="s">
        <v>30</v>
      </c>
      <c r="F153">
        <v>-1</v>
      </c>
      <c r="G153">
        <v>4310.8999999999996</v>
      </c>
      <c r="I153">
        <v>0</v>
      </c>
      <c r="J153" s="1">
        <v>45650</v>
      </c>
      <c r="K153" t="s">
        <v>21</v>
      </c>
      <c r="L153" t="s">
        <v>53</v>
      </c>
      <c r="M153">
        <v>3835.88</v>
      </c>
      <c r="N153" t="str">
        <f t="shared" si="10"/>
        <v>Dec</v>
      </c>
      <c r="O153" t="str">
        <f t="shared" si="11"/>
        <v>Returned</v>
      </c>
    </row>
    <row r="154" spans="1:15" ht="14.4" hidden="1" x14ac:dyDescent="0.3">
      <c r="A154">
        <v>3891</v>
      </c>
      <c r="B154" t="s">
        <v>33</v>
      </c>
      <c r="C154" t="s">
        <v>14</v>
      </c>
      <c r="D154" t="s">
        <v>45</v>
      </c>
      <c r="E154" s="2" t="s">
        <v>26</v>
      </c>
      <c r="F154">
        <v>0</v>
      </c>
      <c r="G154">
        <v>9453.17</v>
      </c>
      <c r="I154">
        <v>0</v>
      </c>
      <c r="J154" s="1">
        <v>45701</v>
      </c>
      <c r="K154" t="s">
        <v>21</v>
      </c>
      <c r="L154" t="s">
        <v>34</v>
      </c>
      <c r="M154">
        <v>3832.99</v>
      </c>
      <c r="N154" t="str">
        <f t="shared" si="10"/>
        <v>Feb</v>
      </c>
      <c r="O154" t="str">
        <f t="shared" si="11"/>
        <v>Solid</v>
      </c>
    </row>
    <row r="155" spans="1:15" ht="14.4" hidden="1" x14ac:dyDescent="0.3">
      <c r="A155">
        <v>3904</v>
      </c>
      <c r="B155" t="s">
        <v>13</v>
      </c>
      <c r="C155" t="s">
        <v>19</v>
      </c>
      <c r="D155" t="s">
        <v>46</v>
      </c>
      <c r="E155" s="2" t="s">
        <v>26</v>
      </c>
      <c r="F155">
        <v>2</v>
      </c>
      <c r="G155">
        <v>7775.87</v>
      </c>
      <c r="I155">
        <v>0</v>
      </c>
      <c r="J155" s="1">
        <v>45805</v>
      </c>
      <c r="K155" t="s">
        <v>21</v>
      </c>
      <c r="L155" t="s">
        <v>34</v>
      </c>
      <c r="M155">
        <v>1143.1099999999999</v>
      </c>
      <c r="N155" t="str">
        <f t="shared" si="10"/>
        <v>May</v>
      </c>
      <c r="O155" t="str">
        <f t="shared" si="11"/>
        <v>Solid</v>
      </c>
    </row>
    <row r="156" spans="1:15" ht="14.4" hidden="1" x14ac:dyDescent="0.3">
      <c r="A156">
        <v>2041</v>
      </c>
      <c r="B156" t="s">
        <v>13</v>
      </c>
      <c r="C156" t="s">
        <v>19</v>
      </c>
      <c r="D156" t="s">
        <v>20</v>
      </c>
      <c r="E156" s="2" t="s">
        <v>16</v>
      </c>
      <c r="F156">
        <v>-1</v>
      </c>
      <c r="G156">
        <v>4414.63</v>
      </c>
      <c r="I156">
        <v>0</v>
      </c>
      <c r="J156" s="1">
        <v>45715</v>
      </c>
      <c r="K156" t="s">
        <v>17</v>
      </c>
      <c r="L156" t="s">
        <v>34</v>
      </c>
      <c r="M156">
        <v>1709.18</v>
      </c>
      <c r="N156" t="str">
        <f t="shared" si="10"/>
        <v>Feb</v>
      </c>
      <c r="O156" t="str">
        <f t="shared" si="11"/>
        <v>Returned</v>
      </c>
    </row>
    <row r="157" spans="1:15" x14ac:dyDescent="0.3">
      <c r="A157">
        <v>3992</v>
      </c>
      <c r="B157" t="s">
        <v>33</v>
      </c>
      <c r="C157" t="s">
        <v>24</v>
      </c>
      <c r="D157" t="s">
        <v>48</v>
      </c>
      <c r="E157" s="2" t="s">
        <v>30</v>
      </c>
      <c r="F157">
        <v>-1</v>
      </c>
      <c r="G157">
        <v>4431.62</v>
      </c>
      <c r="I157">
        <v>0</v>
      </c>
      <c r="J157" s="1">
        <v>45670</v>
      </c>
      <c r="K157" t="s">
        <v>17</v>
      </c>
      <c r="L157" t="s">
        <v>27</v>
      </c>
      <c r="M157">
        <v>-907.76</v>
      </c>
      <c r="N157" t="str">
        <f t="shared" si="10"/>
        <v>Jan</v>
      </c>
      <c r="O157" t="str">
        <f t="shared" si="11"/>
        <v>Returned</v>
      </c>
    </row>
    <row r="158" spans="1:15" ht="14.4" hidden="1" x14ac:dyDescent="0.3">
      <c r="A158">
        <v>3997</v>
      </c>
      <c r="B158" t="s">
        <v>18</v>
      </c>
      <c r="C158" t="s">
        <v>24</v>
      </c>
      <c r="D158" t="s">
        <v>36</v>
      </c>
      <c r="E158" s="2" t="s">
        <v>16</v>
      </c>
      <c r="F158">
        <v>4</v>
      </c>
      <c r="I158">
        <v>0</v>
      </c>
      <c r="J158" s="1">
        <v>45315</v>
      </c>
      <c r="K158" t="s">
        <v>21</v>
      </c>
      <c r="L158" t="s">
        <v>52</v>
      </c>
      <c r="M158">
        <v>-484.62</v>
      </c>
      <c r="N158" t="str">
        <f t="shared" si="10"/>
        <v>Jan</v>
      </c>
      <c r="O158" t="str">
        <f t="shared" si="11"/>
        <v>Solid</v>
      </c>
    </row>
    <row r="159" spans="1:15" ht="14.4" hidden="1" x14ac:dyDescent="0.3">
      <c r="A159">
        <v>4011</v>
      </c>
      <c r="B159" t="s">
        <v>18</v>
      </c>
      <c r="C159" t="s">
        <v>28</v>
      </c>
      <c r="D159" t="s">
        <v>41</v>
      </c>
      <c r="E159" s="2" t="s">
        <v>16</v>
      </c>
      <c r="F159">
        <v>4</v>
      </c>
      <c r="G159">
        <v>4909.5600000000004</v>
      </c>
      <c r="I159">
        <v>0</v>
      </c>
      <c r="J159" s="1">
        <v>45842</v>
      </c>
      <c r="K159" t="s">
        <v>21</v>
      </c>
      <c r="L159" t="s">
        <v>34</v>
      </c>
      <c r="M159">
        <v>2934.53</v>
      </c>
      <c r="N159" t="str">
        <f t="shared" si="10"/>
        <v>Jul</v>
      </c>
      <c r="O159" t="str">
        <f t="shared" si="11"/>
        <v>Solid</v>
      </c>
    </row>
    <row r="160" spans="1:15" ht="14.4" hidden="1" x14ac:dyDescent="0.3">
      <c r="A160">
        <v>4013</v>
      </c>
      <c r="B160" t="s">
        <v>18</v>
      </c>
      <c r="C160" t="s">
        <v>37</v>
      </c>
      <c r="D160" t="s">
        <v>50</v>
      </c>
      <c r="E160" s="2">
        <v>10</v>
      </c>
      <c r="F160">
        <v>2</v>
      </c>
      <c r="G160">
        <v>3794.99</v>
      </c>
      <c r="I160">
        <v>0</v>
      </c>
      <c r="J160" s="1">
        <v>45842</v>
      </c>
      <c r="K160" t="s">
        <v>17</v>
      </c>
      <c r="L160" t="s">
        <v>53</v>
      </c>
      <c r="M160">
        <v>1398.9</v>
      </c>
      <c r="N160" t="str">
        <f t="shared" si="10"/>
        <v>Jul</v>
      </c>
      <c r="O160" t="str">
        <f t="shared" si="11"/>
        <v>Solid</v>
      </c>
    </row>
    <row r="161" spans="1:15" ht="14.4" hidden="1" x14ac:dyDescent="0.3">
      <c r="A161">
        <v>4052</v>
      </c>
      <c r="B161" t="s">
        <v>13</v>
      </c>
      <c r="C161" t="s">
        <v>14</v>
      </c>
      <c r="D161" t="s">
        <v>32</v>
      </c>
      <c r="E161" s="2" t="s">
        <v>26</v>
      </c>
      <c r="G161">
        <v>6952.66</v>
      </c>
      <c r="I161">
        <v>0</v>
      </c>
      <c r="J161" s="1">
        <v>45676</v>
      </c>
      <c r="K161" t="s">
        <v>17</v>
      </c>
      <c r="L161" t="s">
        <v>53</v>
      </c>
      <c r="M161">
        <v>1624.3</v>
      </c>
      <c r="N161" t="str">
        <f t="shared" si="10"/>
        <v>Jan</v>
      </c>
      <c r="O161" t="str">
        <f t="shared" si="11"/>
        <v>Solid</v>
      </c>
    </row>
    <row r="162" spans="1:15" x14ac:dyDescent="0.3">
      <c r="A162">
        <v>4133</v>
      </c>
      <c r="B162" t="s">
        <v>33</v>
      </c>
      <c r="C162" t="s">
        <v>37</v>
      </c>
      <c r="D162" t="s">
        <v>38</v>
      </c>
      <c r="E162" s="2" t="s">
        <v>26</v>
      </c>
      <c r="F162">
        <v>3</v>
      </c>
      <c r="G162">
        <v>4105.0600000000004</v>
      </c>
      <c r="I162">
        <v>0</v>
      </c>
      <c r="J162" s="1">
        <v>45605</v>
      </c>
      <c r="K162" t="s">
        <v>17</v>
      </c>
      <c r="L162" t="s">
        <v>23</v>
      </c>
      <c r="M162">
        <v>1015.38</v>
      </c>
      <c r="N162" t="str">
        <f t="shared" si="10"/>
        <v>Nov</v>
      </c>
      <c r="O162" t="str">
        <f t="shared" si="11"/>
        <v>Solid</v>
      </c>
    </row>
    <row r="163" spans="1:15" x14ac:dyDescent="0.3">
      <c r="A163">
        <v>4147</v>
      </c>
      <c r="B163" t="s">
        <v>33</v>
      </c>
      <c r="C163" t="s">
        <v>37</v>
      </c>
      <c r="D163" t="s">
        <v>44</v>
      </c>
      <c r="E163" s="2" t="s">
        <v>26</v>
      </c>
      <c r="F163">
        <v>1</v>
      </c>
      <c r="G163">
        <v>7659.09</v>
      </c>
      <c r="I163">
        <v>0</v>
      </c>
      <c r="J163" s="1">
        <v>45622</v>
      </c>
      <c r="K163" t="s">
        <v>17</v>
      </c>
      <c r="L163" t="s">
        <v>31</v>
      </c>
      <c r="M163">
        <v>106.35</v>
      </c>
      <c r="N163" t="str">
        <f t="shared" ref="N163:N180" si="12">TEXT(J163,"mmm")</f>
        <v>Nov</v>
      </c>
      <c r="O163" t="str">
        <f t="shared" ref="O163:O180" si="13">IF(F163&lt;0,"Returned","Solid")</f>
        <v>Solid</v>
      </c>
    </row>
    <row r="164" spans="1:15" x14ac:dyDescent="0.3">
      <c r="A164">
        <v>4148</v>
      </c>
      <c r="B164" t="s">
        <v>13</v>
      </c>
      <c r="C164" t="s">
        <v>19</v>
      </c>
      <c r="D164" t="s">
        <v>46</v>
      </c>
      <c r="E164" s="2">
        <v>7</v>
      </c>
      <c r="F164">
        <v>3</v>
      </c>
      <c r="G164">
        <v>5943.25</v>
      </c>
      <c r="I164">
        <v>0</v>
      </c>
      <c r="J164" s="1">
        <v>45856</v>
      </c>
      <c r="K164" t="s">
        <v>21</v>
      </c>
      <c r="L164" t="s">
        <v>27</v>
      </c>
      <c r="M164">
        <v>-900.4</v>
      </c>
      <c r="N164" t="str">
        <f t="shared" si="12"/>
        <v>Jul</v>
      </c>
      <c r="O164" t="str">
        <f t="shared" si="13"/>
        <v>Solid</v>
      </c>
    </row>
    <row r="165" spans="1:15" x14ac:dyDescent="0.3">
      <c r="A165">
        <v>4149</v>
      </c>
      <c r="B165" t="s">
        <v>18</v>
      </c>
      <c r="C165" t="s">
        <v>14</v>
      </c>
      <c r="D165" t="s">
        <v>15</v>
      </c>
      <c r="E165" s="2">
        <v>10</v>
      </c>
      <c r="F165">
        <v>4</v>
      </c>
      <c r="G165">
        <v>5716.52</v>
      </c>
      <c r="I165">
        <v>0</v>
      </c>
      <c r="J165" s="1">
        <v>45549</v>
      </c>
      <c r="K165" t="s">
        <v>21</v>
      </c>
      <c r="L165" t="s">
        <v>27</v>
      </c>
      <c r="M165">
        <v>274.76</v>
      </c>
      <c r="N165" t="str">
        <f t="shared" si="12"/>
        <v>Sep</v>
      </c>
      <c r="O165" t="str">
        <f t="shared" si="13"/>
        <v>Solid</v>
      </c>
    </row>
    <row r="166" spans="1:15" ht="14.4" hidden="1" x14ac:dyDescent="0.3">
      <c r="A166">
        <v>4164</v>
      </c>
      <c r="B166" t="s">
        <v>33</v>
      </c>
      <c r="C166" t="s">
        <v>19</v>
      </c>
      <c r="D166" t="s">
        <v>20</v>
      </c>
      <c r="E166" s="2" t="s">
        <v>30</v>
      </c>
      <c r="F166">
        <v>0</v>
      </c>
      <c r="G166">
        <v>2196.67</v>
      </c>
      <c r="I166">
        <v>0</v>
      </c>
      <c r="J166" s="1">
        <v>45859</v>
      </c>
      <c r="K166" t="s">
        <v>17</v>
      </c>
      <c r="L166" t="s">
        <v>34</v>
      </c>
      <c r="M166">
        <v>-1088.9000000000001</v>
      </c>
      <c r="N166" t="str">
        <f t="shared" si="12"/>
        <v>Jul</v>
      </c>
      <c r="O166" t="str">
        <f t="shared" si="13"/>
        <v>Solid</v>
      </c>
    </row>
    <row r="167" spans="1:15" ht="14.4" hidden="1" x14ac:dyDescent="0.3">
      <c r="A167">
        <v>4176</v>
      </c>
      <c r="B167" t="s">
        <v>18</v>
      </c>
      <c r="C167" t="s">
        <v>14</v>
      </c>
      <c r="D167" t="s">
        <v>45</v>
      </c>
      <c r="E167" s="2" t="s">
        <v>16</v>
      </c>
      <c r="F167">
        <v>1</v>
      </c>
      <c r="I167">
        <v>0</v>
      </c>
      <c r="J167" s="1">
        <v>45171</v>
      </c>
      <c r="K167" t="s">
        <v>21</v>
      </c>
      <c r="L167" t="s">
        <v>52</v>
      </c>
      <c r="M167">
        <v>2254.67</v>
      </c>
      <c r="N167" t="str">
        <f t="shared" si="12"/>
        <v>Sep</v>
      </c>
      <c r="O167" t="str">
        <f t="shared" si="13"/>
        <v>Solid</v>
      </c>
    </row>
    <row r="168" spans="1:15" x14ac:dyDescent="0.3">
      <c r="A168">
        <v>4202</v>
      </c>
      <c r="B168" t="s">
        <v>33</v>
      </c>
      <c r="C168" t="s">
        <v>14</v>
      </c>
      <c r="D168" t="s">
        <v>15</v>
      </c>
      <c r="E168" s="2" t="s">
        <v>26</v>
      </c>
      <c r="F168">
        <v>4</v>
      </c>
      <c r="G168">
        <v>4996.25</v>
      </c>
      <c r="I168">
        <v>0</v>
      </c>
      <c r="J168" s="1">
        <v>45793</v>
      </c>
      <c r="K168" t="s">
        <v>17</v>
      </c>
      <c r="L168" t="s">
        <v>27</v>
      </c>
      <c r="M168">
        <v>299.85000000000002</v>
      </c>
      <c r="N168" t="str">
        <f t="shared" si="12"/>
        <v>May</v>
      </c>
      <c r="O168" t="str">
        <f t="shared" si="13"/>
        <v>Solid</v>
      </c>
    </row>
    <row r="169" spans="1:15" x14ac:dyDescent="0.3">
      <c r="A169">
        <v>4215</v>
      </c>
      <c r="B169" t="s">
        <v>33</v>
      </c>
      <c r="C169" t="s">
        <v>14</v>
      </c>
      <c r="D169" t="s">
        <v>32</v>
      </c>
      <c r="E169" s="2" t="s">
        <v>30</v>
      </c>
      <c r="F169">
        <v>3</v>
      </c>
      <c r="G169">
        <v>7213.51</v>
      </c>
      <c r="I169">
        <v>0</v>
      </c>
      <c r="J169" s="1">
        <v>45851</v>
      </c>
      <c r="K169" t="s">
        <v>17</v>
      </c>
      <c r="L169" t="s">
        <v>39</v>
      </c>
      <c r="M169">
        <v>960.82</v>
      </c>
      <c r="N169" t="str">
        <f t="shared" si="12"/>
        <v>Jul</v>
      </c>
      <c r="O169" t="str">
        <f t="shared" si="13"/>
        <v>Solid</v>
      </c>
    </row>
    <row r="170" spans="1:15" x14ac:dyDescent="0.3">
      <c r="A170">
        <v>4216</v>
      </c>
      <c r="B170" t="s">
        <v>13</v>
      </c>
      <c r="C170" t="s">
        <v>24</v>
      </c>
      <c r="D170" t="s">
        <v>36</v>
      </c>
      <c r="E170" s="2" t="s">
        <v>16</v>
      </c>
      <c r="F170">
        <v>-1</v>
      </c>
      <c r="G170">
        <v>4989.1499999999996</v>
      </c>
      <c r="I170">
        <v>0</v>
      </c>
      <c r="J170" s="1">
        <v>45711</v>
      </c>
      <c r="K170" t="s">
        <v>17</v>
      </c>
      <c r="L170" t="s">
        <v>31</v>
      </c>
      <c r="M170">
        <v>3445.94</v>
      </c>
      <c r="N170" t="str">
        <f t="shared" si="12"/>
        <v>Feb</v>
      </c>
      <c r="O170" t="str">
        <f t="shared" si="13"/>
        <v>Returned</v>
      </c>
    </row>
    <row r="171" spans="1:15" ht="14.4" hidden="1" x14ac:dyDescent="0.3">
      <c r="A171">
        <v>4238</v>
      </c>
      <c r="B171" t="s">
        <v>33</v>
      </c>
      <c r="C171" t="s">
        <v>19</v>
      </c>
      <c r="D171" t="s">
        <v>46</v>
      </c>
      <c r="E171" s="2" t="s">
        <v>30</v>
      </c>
      <c r="F171">
        <v>2</v>
      </c>
      <c r="G171">
        <v>6489.35</v>
      </c>
      <c r="I171">
        <v>0</v>
      </c>
      <c r="J171" s="1">
        <v>45640</v>
      </c>
      <c r="K171" t="s">
        <v>17</v>
      </c>
      <c r="L171" t="s">
        <v>52</v>
      </c>
      <c r="M171">
        <v>-321.44</v>
      </c>
      <c r="N171" t="str">
        <f t="shared" si="12"/>
        <v>Dec</v>
      </c>
      <c r="O171" t="str">
        <f t="shared" si="13"/>
        <v>Solid</v>
      </c>
    </row>
    <row r="172" spans="1:15" x14ac:dyDescent="0.3">
      <c r="A172">
        <v>4258</v>
      </c>
      <c r="B172" t="s">
        <v>13</v>
      </c>
      <c r="C172" t="s">
        <v>24</v>
      </c>
      <c r="D172" t="s">
        <v>48</v>
      </c>
      <c r="E172" s="2" t="s">
        <v>26</v>
      </c>
      <c r="F172">
        <v>-1</v>
      </c>
      <c r="G172">
        <v>4189.3599999999997</v>
      </c>
      <c r="I172">
        <v>0</v>
      </c>
      <c r="J172" s="1">
        <v>45453</v>
      </c>
      <c r="K172" t="s">
        <v>21</v>
      </c>
      <c r="L172" t="s">
        <v>27</v>
      </c>
      <c r="M172">
        <v>1276.3399999999999</v>
      </c>
      <c r="N172" t="str">
        <f t="shared" si="12"/>
        <v>Jun</v>
      </c>
      <c r="O172" t="str">
        <f t="shared" si="13"/>
        <v>Returned</v>
      </c>
    </row>
    <row r="173" spans="1:15" x14ac:dyDescent="0.3">
      <c r="A173">
        <v>4264</v>
      </c>
      <c r="B173" t="s">
        <v>13</v>
      </c>
      <c r="C173" t="s">
        <v>24</v>
      </c>
      <c r="D173" t="s">
        <v>49</v>
      </c>
      <c r="E173" s="2" t="s">
        <v>16</v>
      </c>
      <c r="F173">
        <v>-1</v>
      </c>
      <c r="G173">
        <v>6012.55</v>
      </c>
      <c r="I173">
        <v>0</v>
      </c>
      <c r="J173" s="1">
        <v>45302</v>
      </c>
      <c r="K173" t="s">
        <v>17</v>
      </c>
      <c r="L173" t="s">
        <v>31</v>
      </c>
      <c r="M173">
        <v>783.79</v>
      </c>
      <c r="N173" t="str">
        <f t="shared" si="12"/>
        <v>Jan</v>
      </c>
      <c r="O173" t="str">
        <f t="shared" si="13"/>
        <v>Returned</v>
      </c>
    </row>
    <row r="174" spans="1:15" x14ac:dyDescent="0.3">
      <c r="A174">
        <v>4273</v>
      </c>
      <c r="B174" t="s">
        <v>13</v>
      </c>
      <c r="C174" t="s">
        <v>19</v>
      </c>
      <c r="D174" t="s">
        <v>46</v>
      </c>
      <c r="E174" s="2">
        <v>7</v>
      </c>
      <c r="F174">
        <v>3</v>
      </c>
      <c r="G174">
        <v>3407.16</v>
      </c>
      <c r="I174">
        <v>0</v>
      </c>
      <c r="J174" s="1">
        <v>45677</v>
      </c>
      <c r="K174" t="s">
        <v>21</v>
      </c>
      <c r="L174" t="s">
        <v>23</v>
      </c>
      <c r="M174">
        <v>1161.05</v>
      </c>
      <c r="N174" t="str">
        <f t="shared" si="12"/>
        <v>Jan</v>
      </c>
      <c r="O174" t="str">
        <f t="shared" si="13"/>
        <v>Solid</v>
      </c>
    </row>
    <row r="175" spans="1:15" x14ac:dyDescent="0.3">
      <c r="A175">
        <v>4295</v>
      </c>
      <c r="B175" t="s">
        <v>18</v>
      </c>
      <c r="C175" t="s">
        <v>37</v>
      </c>
      <c r="D175" t="s">
        <v>38</v>
      </c>
      <c r="E175" s="2">
        <v>10</v>
      </c>
      <c r="F175">
        <v>4</v>
      </c>
      <c r="G175">
        <v>4469.12</v>
      </c>
      <c r="I175">
        <v>0</v>
      </c>
      <c r="J175" s="1">
        <v>45731</v>
      </c>
      <c r="K175" t="s">
        <v>21</v>
      </c>
      <c r="L175" t="s">
        <v>23</v>
      </c>
      <c r="M175">
        <v>-1033.4100000000001</v>
      </c>
      <c r="N175" t="str">
        <f t="shared" si="12"/>
        <v>Mar</v>
      </c>
      <c r="O175" t="str">
        <f t="shared" si="13"/>
        <v>Solid</v>
      </c>
    </row>
    <row r="176" spans="1:15" ht="14.4" hidden="1" x14ac:dyDescent="0.3">
      <c r="A176">
        <v>4304</v>
      </c>
      <c r="B176" t="s">
        <v>13</v>
      </c>
      <c r="C176" t="s">
        <v>37</v>
      </c>
      <c r="D176" t="s">
        <v>43</v>
      </c>
      <c r="E176" s="2" t="s">
        <v>26</v>
      </c>
      <c r="G176">
        <v>4877.24</v>
      </c>
      <c r="I176">
        <v>0</v>
      </c>
      <c r="J176" s="1">
        <v>45480</v>
      </c>
      <c r="K176" t="s">
        <v>21</v>
      </c>
      <c r="L176" t="s">
        <v>53</v>
      </c>
      <c r="M176">
        <v>2692.2</v>
      </c>
      <c r="N176" t="str">
        <f t="shared" si="12"/>
        <v>Jul</v>
      </c>
      <c r="O176" t="str">
        <f t="shared" si="13"/>
        <v>Solid</v>
      </c>
    </row>
    <row r="177" spans="1:15" ht="14.4" hidden="1" x14ac:dyDescent="0.3">
      <c r="A177">
        <v>4340</v>
      </c>
      <c r="B177" t="s">
        <v>18</v>
      </c>
      <c r="C177" t="s">
        <v>14</v>
      </c>
      <c r="D177" t="s">
        <v>45</v>
      </c>
      <c r="E177" s="2">
        <v>6</v>
      </c>
      <c r="G177">
        <v>3051.51</v>
      </c>
      <c r="I177">
        <v>0</v>
      </c>
      <c r="K177" t="s">
        <v>21</v>
      </c>
      <c r="L177" t="s">
        <v>34</v>
      </c>
      <c r="M177">
        <v>728.33</v>
      </c>
      <c r="N177" t="str">
        <f t="shared" si="12"/>
        <v>Jan</v>
      </c>
      <c r="O177" t="str">
        <f t="shared" si="13"/>
        <v>Solid</v>
      </c>
    </row>
    <row r="178" spans="1:15" ht="14.4" hidden="1" x14ac:dyDescent="0.3">
      <c r="A178">
        <v>4353</v>
      </c>
      <c r="B178" t="s">
        <v>33</v>
      </c>
      <c r="C178" t="s">
        <v>19</v>
      </c>
      <c r="D178" t="s">
        <v>22</v>
      </c>
      <c r="E178" s="2" t="s">
        <v>16</v>
      </c>
      <c r="F178">
        <v>-1</v>
      </c>
      <c r="I178">
        <v>0</v>
      </c>
      <c r="K178" t="s">
        <v>21</v>
      </c>
      <c r="L178" t="s">
        <v>34</v>
      </c>
      <c r="M178">
        <v>1665.83</v>
      </c>
      <c r="N178" t="str">
        <f t="shared" si="12"/>
        <v>Jan</v>
      </c>
      <c r="O178" t="str">
        <f t="shared" si="13"/>
        <v>Returned</v>
      </c>
    </row>
    <row r="179" spans="1:15" ht="14.4" hidden="1" x14ac:dyDescent="0.3">
      <c r="A179">
        <v>4434</v>
      </c>
      <c r="B179" t="s">
        <v>33</v>
      </c>
      <c r="C179" t="s">
        <v>37</v>
      </c>
      <c r="D179" t="s">
        <v>44</v>
      </c>
      <c r="E179" s="2" t="s">
        <v>26</v>
      </c>
      <c r="F179">
        <v>3</v>
      </c>
      <c r="G179">
        <v>3844.82</v>
      </c>
      <c r="I179">
        <v>0</v>
      </c>
      <c r="J179" s="1">
        <v>45697</v>
      </c>
      <c r="K179" t="s">
        <v>17</v>
      </c>
      <c r="L179" t="s">
        <v>53</v>
      </c>
      <c r="M179">
        <v>-289.83</v>
      </c>
      <c r="N179" t="str">
        <f t="shared" si="12"/>
        <v>Feb</v>
      </c>
      <c r="O179" t="str">
        <f t="shared" si="13"/>
        <v>Solid</v>
      </c>
    </row>
    <row r="180" spans="1:15" x14ac:dyDescent="0.3">
      <c r="A180">
        <v>4449</v>
      </c>
      <c r="B180" t="s">
        <v>33</v>
      </c>
      <c r="C180" t="s">
        <v>24</v>
      </c>
      <c r="D180" t="s">
        <v>49</v>
      </c>
      <c r="E180" s="2">
        <v>9</v>
      </c>
      <c r="F180">
        <v>0</v>
      </c>
      <c r="G180">
        <v>5053.29</v>
      </c>
      <c r="I180">
        <v>0</v>
      </c>
      <c r="J180" s="1">
        <v>45712</v>
      </c>
      <c r="K180" t="s">
        <v>21</v>
      </c>
      <c r="L180" t="s">
        <v>39</v>
      </c>
      <c r="M180">
        <v>3206.34</v>
      </c>
      <c r="N180" t="str">
        <f t="shared" si="12"/>
        <v>Feb</v>
      </c>
      <c r="O180" t="str">
        <f t="shared" si="13"/>
        <v>Solid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061E-A36E-4BAC-A583-F20FE2A18C77}">
  <dimension ref="A1"/>
  <sheetViews>
    <sheetView showGridLines="0" zoomScale="99" zoomScaleNormal="99" workbookViewId="0">
      <selection activeCell="M27" sqref="M27"/>
    </sheetView>
  </sheetViews>
  <sheetFormatPr defaultRowHeight="15.05" x14ac:dyDescent="0.3"/>
  <cols>
    <col min="1" max="16384" width="8.8867187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7B3BB-0DE3-4DB1-8906-7D0F0339D1FF}">
  <dimension ref="A3:L26"/>
  <sheetViews>
    <sheetView zoomScale="80" zoomScaleNormal="80" workbookViewId="0">
      <selection activeCell="L30" sqref="L30"/>
    </sheetView>
  </sheetViews>
  <sheetFormatPr defaultRowHeight="15.05" x14ac:dyDescent="0.3"/>
  <cols>
    <col min="1" max="1" width="12" bestFit="1" customWidth="1"/>
    <col min="2" max="2" width="13.88671875" bestFit="1" customWidth="1"/>
    <col min="4" max="5" width="12" bestFit="1" customWidth="1"/>
    <col min="6" max="6" width="13.88671875" customWidth="1"/>
    <col min="7" max="7" width="14.5546875" bestFit="1" customWidth="1"/>
    <col min="8" max="8" width="12" bestFit="1" customWidth="1"/>
    <col min="9" max="9" width="15.33203125" bestFit="1" customWidth="1"/>
    <col min="10" max="11" width="12" bestFit="1" customWidth="1"/>
    <col min="12" max="12" width="13.88671875" bestFit="1" customWidth="1"/>
    <col min="13" max="13" width="12" bestFit="1" customWidth="1"/>
    <col min="14" max="14" width="11" bestFit="1" customWidth="1"/>
    <col min="16" max="16" width="12" bestFit="1" customWidth="1"/>
    <col min="17" max="17" width="13.88671875" bestFit="1" customWidth="1"/>
  </cols>
  <sheetData>
    <row r="3" spans="1:12" ht="18.350000000000001" x14ac:dyDescent="0.35">
      <c r="A3" s="8" t="s">
        <v>76</v>
      </c>
      <c r="B3" s="2"/>
      <c r="E3" s="7" t="s">
        <v>77</v>
      </c>
      <c r="F3" s="7"/>
      <c r="H3" s="7" t="s">
        <v>79</v>
      </c>
      <c r="I3" s="7"/>
      <c r="K3" s="7" t="s">
        <v>80</v>
      </c>
      <c r="L3" s="7"/>
    </row>
    <row r="4" spans="1:12" x14ac:dyDescent="0.3">
      <c r="A4" t="s">
        <v>98</v>
      </c>
      <c r="E4" s="4" t="s">
        <v>57</v>
      </c>
      <c r="F4" t="s">
        <v>71</v>
      </c>
      <c r="H4" s="4" t="s">
        <v>56</v>
      </c>
      <c r="I4" t="s">
        <v>73</v>
      </c>
      <c r="K4" s="4" t="s">
        <v>57</v>
      </c>
      <c r="L4" t="s">
        <v>74</v>
      </c>
    </row>
    <row r="5" spans="1:12" x14ac:dyDescent="0.3">
      <c r="E5" s="2" t="s">
        <v>19</v>
      </c>
      <c r="F5" s="21">
        <v>97927.450000000012</v>
      </c>
      <c r="K5" s="2" t="s">
        <v>19</v>
      </c>
      <c r="L5" s="21">
        <v>35849.39</v>
      </c>
    </row>
    <row r="6" spans="1:12" ht="18.350000000000001" x14ac:dyDescent="0.35">
      <c r="A6" s="7" t="s">
        <v>83</v>
      </c>
      <c r="E6" s="2" t="s">
        <v>14</v>
      </c>
      <c r="F6" s="21">
        <v>95941.85</v>
      </c>
      <c r="H6" s="4" t="s">
        <v>57</v>
      </c>
      <c r="I6" t="s">
        <v>72</v>
      </c>
      <c r="K6" s="2" t="s">
        <v>37</v>
      </c>
      <c r="L6" s="21">
        <v>27896.199999999997</v>
      </c>
    </row>
    <row r="7" spans="1:12" x14ac:dyDescent="0.3">
      <c r="A7" t="s">
        <v>84</v>
      </c>
      <c r="E7" s="2" t="s">
        <v>24</v>
      </c>
      <c r="F7" s="21">
        <v>81520.780000000013</v>
      </c>
      <c r="H7" s="2" t="s">
        <v>24</v>
      </c>
      <c r="I7" s="21">
        <v>10</v>
      </c>
      <c r="K7" s="2" t="s">
        <v>24</v>
      </c>
      <c r="L7" s="21">
        <v>25759.420000000002</v>
      </c>
    </row>
    <row r="8" spans="1:12" x14ac:dyDescent="0.3">
      <c r="E8" s="2" t="s">
        <v>37</v>
      </c>
      <c r="F8" s="21">
        <v>51088.409999999996</v>
      </c>
      <c r="H8" s="2" t="s">
        <v>28</v>
      </c>
      <c r="I8" s="21">
        <v>4</v>
      </c>
      <c r="K8" s="2" t="s">
        <v>14</v>
      </c>
      <c r="L8" s="21">
        <v>20032.3</v>
      </c>
    </row>
    <row r="9" spans="1:12" ht="18.350000000000001" x14ac:dyDescent="0.35">
      <c r="A9" s="7" t="s">
        <v>85</v>
      </c>
      <c r="E9" s="2" t="s">
        <v>28</v>
      </c>
      <c r="F9" s="21">
        <v>15531.119999999999</v>
      </c>
      <c r="H9" s="2" t="s">
        <v>19</v>
      </c>
      <c r="I9" s="21">
        <v>2</v>
      </c>
      <c r="K9" s="2" t="s">
        <v>28</v>
      </c>
      <c r="L9" s="21">
        <v>16733.93</v>
      </c>
    </row>
    <row r="10" spans="1:12" x14ac:dyDescent="0.3">
      <c r="A10" t="s">
        <v>99</v>
      </c>
      <c r="E10" s="2" t="s">
        <v>70</v>
      </c>
      <c r="F10" s="21">
        <v>342009.61</v>
      </c>
      <c r="H10" s="2" t="s">
        <v>14</v>
      </c>
      <c r="I10" s="21">
        <v>3</v>
      </c>
      <c r="K10" s="2" t="s">
        <v>70</v>
      </c>
      <c r="L10" s="21">
        <v>126271.23999999999</v>
      </c>
    </row>
    <row r="11" spans="1:12" x14ac:dyDescent="0.3">
      <c r="H11" s="2" t="s">
        <v>70</v>
      </c>
      <c r="I11" s="21">
        <v>19</v>
      </c>
    </row>
    <row r="12" spans="1:12" ht="18.350000000000001" x14ac:dyDescent="0.35">
      <c r="A12" s="7" t="s">
        <v>86</v>
      </c>
      <c r="K12" s="7" t="s">
        <v>81</v>
      </c>
      <c r="L12" s="7"/>
    </row>
    <row r="13" spans="1:12" ht="18.350000000000001" x14ac:dyDescent="0.35">
      <c r="A13" t="s">
        <v>87</v>
      </c>
      <c r="E13" s="7" t="s">
        <v>78</v>
      </c>
      <c r="K13" s="4" t="s">
        <v>57</v>
      </c>
      <c r="L13" t="s">
        <v>71</v>
      </c>
    </row>
    <row r="14" spans="1:12" ht="18.350000000000001" x14ac:dyDescent="0.35">
      <c r="E14" s="4" t="s">
        <v>57</v>
      </c>
      <c r="F14" t="s">
        <v>71</v>
      </c>
      <c r="H14" s="7" t="s">
        <v>82</v>
      </c>
      <c r="I14" s="7"/>
      <c r="K14" s="2" t="s">
        <v>58</v>
      </c>
      <c r="L14" s="21">
        <v>44674.37</v>
      </c>
    </row>
    <row r="15" spans="1:12" ht="18.350000000000001" x14ac:dyDescent="0.35">
      <c r="A15" s="7" t="s">
        <v>91</v>
      </c>
      <c r="E15" s="2" t="s">
        <v>39</v>
      </c>
      <c r="F15" s="21">
        <v>101271.38</v>
      </c>
      <c r="H15" s="4" t="s">
        <v>57</v>
      </c>
      <c r="I15" t="s">
        <v>75</v>
      </c>
      <c r="K15" s="2" t="s">
        <v>61</v>
      </c>
      <c r="L15" s="21">
        <v>44585.55</v>
      </c>
    </row>
    <row r="16" spans="1:12" x14ac:dyDescent="0.3">
      <c r="A16" t="s">
        <v>92</v>
      </c>
      <c r="E16" s="2" t="s">
        <v>27</v>
      </c>
      <c r="F16" s="21">
        <v>71424.739999999991</v>
      </c>
      <c r="H16" s="2" t="s">
        <v>14</v>
      </c>
      <c r="I16" s="21">
        <v>42</v>
      </c>
      <c r="K16" s="2" t="s">
        <v>68</v>
      </c>
      <c r="L16" s="21">
        <v>44288.21</v>
      </c>
    </row>
    <row r="17" spans="1:12" ht="11.15" customHeight="1" x14ac:dyDescent="0.3">
      <c r="E17" s="2" t="s">
        <v>23</v>
      </c>
      <c r="F17" s="21">
        <v>67206.350000000006</v>
      </c>
      <c r="H17" s="2" t="s">
        <v>19</v>
      </c>
      <c r="I17" s="21">
        <v>35</v>
      </c>
      <c r="K17" s="2" t="s">
        <v>66</v>
      </c>
      <c r="L17" s="21">
        <v>32828.99</v>
      </c>
    </row>
    <row r="18" spans="1:12" ht="18.350000000000001" x14ac:dyDescent="0.35">
      <c r="A18" t="s">
        <v>89</v>
      </c>
      <c r="E18" s="2" t="s">
        <v>31</v>
      </c>
      <c r="F18" s="21">
        <v>57770.090000000004</v>
      </c>
      <c r="H18" s="2" t="s">
        <v>37</v>
      </c>
      <c r="I18" s="21">
        <v>31</v>
      </c>
      <c r="K18" s="2" t="s">
        <v>69</v>
      </c>
      <c r="L18" s="21">
        <v>27831.57</v>
      </c>
    </row>
    <row r="19" spans="1:12" x14ac:dyDescent="0.3">
      <c r="A19" t="s">
        <v>100</v>
      </c>
      <c r="E19" s="2" t="s">
        <v>54</v>
      </c>
      <c r="F19" s="21">
        <v>38679.760000000002</v>
      </c>
      <c r="H19" s="2" t="s">
        <v>24</v>
      </c>
      <c r="I19" s="21">
        <v>15</v>
      </c>
      <c r="K19" s="2" t="s">
        <v>62</v>
      </c>
      <c r="L19" s="21">
        <v>26004.690000000002</v>
      </c>
    </row>
    <row r="20" spans="1:12" x14ac:dyDescent="0.3">
      <c r="E20" s="2" t="s">
        <v>51</v>
      </c>
      <c r="F20" s="21">
        <v>5657.2900000000009</v>
      </c>
      <c r="H20" s="2" t="s">
        <v>28</v>
      </c>
      <c r="I20" s="21">
        <v>9</v>
      </c>
      <c r="K20" s="2" t="s">
        <v>60</v>
      </c>
      <c r="L20" s="21">
        <v>25123.360000000001</v>
      </c>
    </row>
    <row r="21" spans="1:12" ht="18.350000000000001" x14ac:dyDescent="0.35">
      <c r="A21" s="7" t="s">
        <v>88</v>
      </c>
      <c r="E21" s="2" t="s">
        <v>70</v>
      </c>
      <c r="F21" s="21">
        <v>342009.61</v>
      </c>
      <c r="H21" s="2" t="s">
        <v>70</v>
      </c>
      <c r="I21" s="21">
        <v>132</v>
      </c>
      <c r="K21" s="2" t="s">
        <v>65</v>
      </c>
      <c r="L21" s="21">
        <v>22055.82</v>
      </c>
    </row>
    <row r="22" spans="1:12" x14ac:dyDescent="0.3">
      <c r="A22" t="s">
        <v>90</v>
      </c>
      <c r="K22" s="2" t="s">
        <v>67</v>
      </c>
      <c r="L22" s="21">
        <v>20777.010000000002</v>
      </c>
    </row>
    <row r="23" spans="1:12" x14ac:dyDescent="0.3">
      <c r="K23" s="2" t="s">
        <v>64</v>
      </c>
      <c r="L23" s="21">
        <v>20183.64</v>
      </c>
    </row>
    <row r="24" spans="1:12" x14ac:dyDescent="0.3">
      <c r="K24" s="2" t="s">
        <v>63</v>
      </c>
      <c r="L24" s="21">
        <v>16881.240000000002</v>
      </c>
    </row>
    <row r="25" spans="1:12" x14ac:dyDescent="0.3">
      <c r="K25" s="2" t="s">
        <v>59</v>
      </c>
      <c r="L25" s="21">
        <v>16775.159999999996</v>
      </c>
    </row>
    <row r="26" spans="1:12" x14ac:dyDescent="0.3">
      <c r="K26" s="2" t="s">
        <v>70</v>
      </c>
      <c r="L26" s="21">
        <v>342009.61000000004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45C4-95E7-4B33-9333-10B0D273C0EE}">
  <dimension ref="A1:AG45"/>
  <sheetViews>
    <sheetView showGridLines="0" tabSelected="1" zoomScale="70" zoomScaleNormal="70" workbookViewId="0">
      <selection activeCell="P29" sqref="P29"/>
    </sheetView>
  </sheetViews>
  <sheetFormatPr defaultRowHeight="15.05" x14ac:dyDescent="0.3"/>
  <cols>
    <col min="7" max="7" width="13" bestFit="1" customWidth="1"/>
  </cols>
  <sheetData>
    <row r="1" spans="1:33"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spans="1:33" x14ac:dyDescent="0.3">
      <c r="A2" s="5"/>
      <c r="B2" s="19" t="s">
        <v>93</v>
      </c>
      <c r="C2" s="20"/>
      <c r="D2" s="20"/>
      <c r="E2" s="20"/>
      <c r="F2" s="20"/>
      <c r="G2" s="20"/>
      <c r="H2" s="20"/>
      <c r="I2" s="20"/>
      <c r="J2" s="20"/>
      <c r="K2" s="20"/>
      <c r="L2" s="20"/>
      <c r="M2" s="20"/>
      <c r="N2" s="20"/>
      <c r="O2" s="20"/>
      <c r="P2" s="20"/>
      <c r="Q2" s="20"/>
      <c r="R2" s="20"/>
      <c r="S2" s="20"/>
      <c r="T2" s="20"/>
      <c r="U2" s="20"/>
      <c r="V2" s="20"/>
      <c r="W2" s="20"/>
      <c r="X2" s="20"/>
      <c r="Y2" s="20"/>
      <c r="Z2" s="5"/>
      <c r="AA2" s="5"/>
      <c r="AB2" s="5"/>
      <c r="AC2" s="5"/>
      <c r="AD2" s="5"/>
      <c r="AE2" s="5"/>
      <c r="AF2" s="5"/>
      <c r="AG2" s="5"/>
    </row>
    <row r="3" spans="1:33" x14ac:dyDescent="0.3">
      <c r="A3" s="5"/>
      <c r="B3" s="20"/>
      <c r="C3" s="20"/>
      <c r="D3" s="20"/>
      <c r="E3" s="20"/>
      <c r="F3" s="20"/>
      <c r="G3" s="20"/>
      <c r="H3" s="20"/>
      <c r="I3" s="20"/>
      <c r="J3" s="20"/>
      <c r="K3" s="20"/>
      <c r="L3" s="20"/>
      <c r="M3" s="20"/>
      <c r="N3" s="20"/>
      <c r="O3" s="20"/>
      <c r="P3" s="20"/>
      <c r="Q3" s="20"/>
      <c r="R3" s="20"/>
      <c r="S3" s="20"/>
      <c r="T3" s="20"/>
      <c r="U3" s="20"/>
      <c r="V3" s="20"/>
      <c r="W3" s="20"/>
      <c r="X3" s="20"/>
      <c r="Y3" s="20"/>
      <c r="Z3" s="5"/>
      <c r="AA3" s="5"/>
      <c r="AB3" s="5"/>
      <c r="AC3" s="5"/>
      <c r="AD3" s="5"/>
      <c r="AE3" s="5"/>
      <c r="AF3" s="5"/>
      <c r="AG3" s="5"/>
    </row>
    <row r="4" spans="1:33" x14ac:dyDescent="0.3">
      <c r="A4" s="5"/>
      <c r="B4" s="20"/>
      <c r="C4" s="20"/>
      <c r="D4" s="20"/>
      <c r="E4" s="20"/>
      <c r="F4" s="20"/>
      <c r="G4" s="20"/>
      <c r="H4" s="20"/>
      <c r="I4" s="20"/>
      <c r="J4" s="20"/>
      <c r="K4" s="20"/>
      <c r="L4" s="20"/>
      <c r="M4" s="20"/>
      <c r="N4" s="20"/>
      <c r="O4" s="20"/>
      <c r="P4" s="20"/>
      <c r="Q4" s="20"/>
      <c r="R4" s="20"/>
      <c r="S4" s="20"/>
      <c r="T4" s="20"/>
      <c r="U4" s="20"/>
      <c r="V4" s="20"/>
      <c r="W4" s="20"/>
      <c r="X4" s="20"/>
      <c r="Y4" s="20"/>
      <c r="Z4" s="5"/>
      <c r="AA4" s="5"/>
      <c r="AB4" s="5"/>
      <c r="AC4" s="5"/>
      <c r="AD4" s="5"/>
      <c r="AE4" s="5"/>
      <c r="AF4" s="5"/>
      <c r="AG4" s="5"/>
    </row>
    <row r="5" spans="1:33" ht="15.75" thickBot="1"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ht="20.95" x14ac:dyDescent="0.4">
      <c r="A6" s="5"/>
      <c r="B6" s="16" t="s">
        <v>94</v>
      </c>
      <c r="C6" s="9"/>
      <c r="D6" s="9"/>
      <c r="E6" s="10"/>
      <c r="F6" s="5"/>
      <c r="G6" s="16" t="s">
        <v>96</v>
      </c>
      <c r="H6" s="9"/>
      <c r="I6" s="9"/>
      <c r="J6" s="10"/>
      <c r="K6" s="5"/>
      <c r="L6" s="16" t="s">
        <v>95</v>
      </c>
      <c r="M6" s="9"/>
      <c r="N6" s="9"/>
      <c r="O6" s="10"/>
      <c r="P6" s="5"/>
      <c r="Q6" s="16" t="s">
        <v>97</v>
      </c>
      <c r="R6" s="9"/>
      <c r="S6" s="9"/>
      <c r="T6" s="10"/>
      <c r="U6" s="5"/>
      <c r="V6" s="5"/>
      <c r="W6" s="5"/>
      <c r="X6" s="5"/>
      <c r="Y6" s="5"/>
      <c r="Z6" s="5"/>
      <c r="AA6" s="5"/>
      <c r="AB6" s="5"/>
      <c r="AC6" s="5"/>
      <c r="AD6" s="5"/>
      <c r="AE6" s="5"/>
      <c r="AF6" s="5"/>
      <c r="AG6" s="5"/>
    </row>
    <row r="7" spans="1:33" ht="20.95" x14ac:dyDescent="0.4">
      <c r="A7" s="5"/>
      <c r="B7" s="18" t="s">
        <v>98</v>
      </c>
      <c r="C7" s="5"/>
      <c r="D7" s="5"/>
      <c r="E7" s="12"/>
      <c r="F7" s="5"/>
      <c r="G7" s="17" t="s">
        <v>101</v>
      </c>
      <c r="H7" s="5"/>
      <c r="I7" s="5"/>
      <c r="J7" s="12"/>
      <c r="K7" s="5"/>
      <c r="L7" s="17">
        <v>132</v>
      </c>
      <c r="M7" s="5"/>
      <c r="N7" s="5"/>
      <c r="O7" s="12"/>
      <c r="P7" s="5"/>
      <c r="Q7" s="17">
        <v>19</v>
      </c>
      <c r="R7" s="5"/>
      <c r="S7" s="5"/>
      <c r="T7" s="12"/>
      <c r="U7" s="5"/>
      <c r="V7" s="5"/>
      <c r="W7" s="5"/>
      <c r="X7" s="5"/>
      <c r="Y7" s="5"/>
      <c r="Z7" s="5"/>
      <c r="AA7" s="5"/>
      <c r="AB7" s="5"/>
      <c r="AC7" s="5"/>
      <c r="AD7" s="5"/>
      <c r="AE7" s="5"/>
      <c r="AF7" s="5"/>
      <c r="AG7" s="5"/>
    </row>
    <row r="8" spans="1:33" x14ac:dyDescent="0.3">
      <c r="A8" s="5"/>
      <c r="B8" s="11"/>
      <c r="C8" s="5"/>
      <c r="D8" s="5"/>
      <c r="E8" s="12"/>
      <c r="F8" s="5"/>
      <c r="G8" s="11"/>
      <c r="H8" s="5"/>
      <c r="I8" s="5"/>
      <c r="J8" s="12"/>
      <c r="K8" s="5"/>
      <c r="L8" s="11"/>
      <c r="M8" s="5"/>
      <c r="N8" s="5"/>
      <c r="O8" s="12"/>
      <c r="P8" s="5"/>
      <c r="Q8" s="11"/>
      <c r="R8" s="5"/>
      <c r="S8" s="5"/>
      <c r="T8" s="12"/>
      <c r="U8" s="5"/>
      <c r="V8" s="5"/>
      <c r="W8" s="5"/>
      <c r="X8" s="5"/>
      <c r="Y8" s="5"/>
      <c r="Z8" s="5"/>
      <c r="AA8" s="5"/>
      <c r="AB8" s="5"/>
      <c r="AC8" s="5"/>
      <c r="AD8" s="5"/>
      <c r="AE8" s="5"/>
      <c r="AF8" s="5"/>
      <c r="AG8" s="5"/>
    </row>
    <row r="9" spans="1:33" ht="15.75" thickBot="1" x14ac:dyDescent="0.35">
      <c r="A9" s="5"/>
      <c r="B9" s="13"/>
      <c r="C9" s="14"/>
      <c r="D9" s="14"/>
      <c r="E9" s="15"/>
      <c r="F9" s="5"/>
      <c r="G9" s="13"/>
      <c r="H9" s="14"/>
      <c r="I9" s="14"/>
      <c r="J9" s="15"/>
      <c r="K9" s="5"/>
      <c r="L9" s="13"/>
      <c r="M9" s="14"/>
      <c r="N9" s="14"/>
      <c r="O9" s="15"/>
      <c r="P9" s="5"/>
      <c r="Q9" s="13"/>
      <c r="R9" s="14"/>
      <c r="S9" s="14"/>
      <c r="T9" s="15"/>
      <c r="U9" s="5"/>
      <c r="V9" s="5"/>
      <c r="W9" s="5"/>
      <c r="X9" s="5"/>
      <c r="Y9" s="5"/>
      <c r="Z9" s="5"/>
      <c r="AA9" s="5"/>
      <c r="AB9" s="5"/>
      <c r="AC9" s="5"/>
      <c r="AD9" s="5"/>
      <c r="AE9" s="5"/>
      <c r="AF9" s="5"/>
      <c r="AG9" s="5"/>
    </row>
    <row r="10" spans="1:33"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3"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3"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sheetData>
  <mergeCells count="1">
    <mergeCell ref="B2: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Nike Data</vt:lpstr>
      <vt:lpstr>Topics to cover</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Prashik Dhanvij</cp:lastModifiedBy>
  <dcterms:created xsi:type="dcterms:W3CDTF">2026-05-19T17:15:17Z</dcterms:created>
  <dcterms:modified xsi:type="dcterms:W3CDTF">2026-05-21T09:58:06Z</dcterms:modified>
</cp:coreProperties>
</file>